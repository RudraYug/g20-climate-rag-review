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8fcfcbfd454571" /></Relationships>
</file>

<file path=xl/workbook.xml><?xml version="1.0" encoding="utf-8"?>
<x:workbook xmlns:x="http://schemas.openxmlformats.org/spreadsheetml/2006/main">
  <x:sheets>
    <x:sheet xmlns:r="http://schemas.openxmlformats.org/officeDocument/2006/relationships" name="Instructions" sheetId="1" r:id="R52d041fc55464f15"/>
    <x:sheet xmlns:r="http://schemas.openxmlformats.org/officeDocument/2006/relationships" name="Annotator Review" sheetId="2" r:id="R8f739891df44451a"/>
    <x:sheet xmlns:r="http://schemas.openxmlformats.org/officeDocument/2006/relationships" name="Agreement Summary" sheetId="3" r:id="Rc1f8e886856247f6"/>
    <x:sheet xmlns:r="http://schemas.openxmlformats.org/officeDocument/2006/relationships" name="Adjudication Log" sheetId="4" r:id="Rf7bc8c30af6e4d26"/>
  </x:sheets>
</x:workbook>
</file>

<file path=xl/sharedStrings.xml><?xml version="1.0" encoding="utf-8"?>
<x:sst xmlns:x="http://schemas.openxmlformats.org/spreadsheetml/2006/main">
  <x:si>
    <x:t xml:space="preserve">PURPOSE</x:t>
  </x:si>
  <x:si>
    <x:t xml:space="preserve">YOUR TASK — Go to the 'Annotator Review' sheet</x:t>
  </x:si>
  <x:si>
    <x:t xml:space="preserve">For each of the 80 questions listed, please:</x:t>
  </x:si>
  <x:si>
    <x:t xml:space="preserve">  1. Read the Question carefully.</x:t>
  </x:si>
  <x:si>
    <x:t xml:space="preserve">  2. Read the Source Document hint — this tells you which NDC or IPCC document contains the answer.</x:t>
  </x:si>
  <x:si>
    <x:t xml:space="preserve">  3. Write your own answer in the yellow 'Your Answer' column based on your knowledge of the document.</x:t>
  </x:si>
  <x:si>
    <x:t xml:space="preserve">     → Write as much or as little as is needed to answer the question accurately.</x:t>
  </x:si>
  <x:si>
    <x:t xml:space="preserve">  5. Add any notes in the 'Annotator Notes' column if you spotted an error or ambiguity.</x:t>
  </x:si>
  <x:si>
    <x:t xml:space="preserve">IMPORTANT RULES</x:t>
  </x:si>
  <x:si>
    <x:t xml:space="preserve">• Answer based only on the source documents listed — not general knowledge.</x:t>
  </x:si>
  <x:si>
    <x:t xml:space="preserve">• You do not need to look up the actual PDF documents. Answer from your existing knowledge of NDC and IPCC content.</x:t>
  </x:si>
  <x:si>
    <x:t xml:space="preserve">• If you are unsure, write 'Uncertain' in Your Answer column rather than guessing.</x:t>
  </x:si>
  <x:si>
    <x:t xml:space="preserve">• The Annotation Notes column in the original dataset contains hints — you MAY look at these after writing your answer.</x:t>
  </x:si>
  <x:si>
    <x:t xml:space="preserve">• Please complete all 80 questions in one sitting if possible.</x:t>
  </x:si>
  <x:si>
    <x:t xml:space="preserve">QUESTION CATEGORIES</x:t>
  </x:si>
  <x:si>
    <x:t xml:space="preserve">🔵 FACTUAL (30 questions) — ask for a specific numeric target or commitment from a single NDC document.</x:t>
  </x:si>
  <x:si>
    <x:t xml:space="preserve">🟡 COMPARATIVE (25 questions) — ask you to compare two or more countries' commitments.</x:t>
  </x:si>
  <x:si>
    <x:t xml:space="preserve">🟢 GAP DETECTION (25 questions) — ask you to identify the gap between an NDC commitment and an IPCC benchmark.</x:t>
  </x:si>
  <x:si>
    <x:t xml:space="preserve">CONTACT</x:t>
  </x:si>
  <x:si>
    <x:t xml:space="preserve">If you have questions about any item, please contact the thesis author before completing the review.</x:t>
  </x:si>
  <x:si>
    <x:t xml:space="preserve">Estimated time to complete: 3-4 hours.</x:t>
  </x:si>
  <x:si>
    <x:t xml:space="preserve">ANNOTATOR METADATA</x:t>
  </x:si>
  <x:si>
    <x:t xml:space="preserve">Annotator name:</x:t>
  </x:si>
  <x:si>
    <x:t xml:space="preserve">Affiliation:</x:t>
  </x:si>
  <x:si>
    <x:t xml:space="preserve">Role:</x:t>
  </x:si>
  <x:si>
    <x:t xml:space="preserve">Review date:</x:t>
  </x:si>
  <x:si>
    <x:t xml:space="preserve">Relevant expertise:</x:t>
  </x:si>
  <x:si>
    <x:t xml:space="preserve">Consent to identification:</x:t>
  </x:si>
  <x:si>
    <x:t xml:space="preserve">Confirmation all 80 items completed:</x:t>
  </x:si>
  <x:si>
    <x:t xml:space="preserve">Instructions: Write your answer in column H BEFORE looking at column G. Then mark agreement in column I. Yellow = annotator input required.</x:t>
  </x:si>
  <x:si>
    <x:t xml:space="preserve">#</x:t>
  </x:si>
  <x:si>
    <x:t xml:space="preserve">ID</x:t>
  </x:si>
  <x:si>
    <x:t xml:space="preserve">Category</x:t>
  </x:si>
  <x:si>
    <x:t xml:space="preserve">Difficulty</x:t>
  </x:si>
  <x:si>
    <x:t xml:space="preserve">Question</x:t>
  </x:si>
  <x:si>
    <x:t xml:space="preserve">Source Document</x:t>
  </x:si>
  <x:si>
    <x:t xml:space="preserve">★ YOUR ANSWER ★
(write here first)</x:t>
  </x:si>
  <x:si>
    <x:t xml:space="preserve">Agreement Level
(FULL/PARTIAL/NONE)</x:t>
  </x:si>
  <x:si>
    <x:t xml:space="preserve">Annotator Notes</x:t>
  </x:si>
  <x:si>
    <x:t xml:space="preserve">F024</x:t>
  </x:si>
  <x:si>
    <x:t xml:space="preserve">FACTUAL</x:t>
  </x:si>
  <x:si>
    <x:t xml:space="preserve">MEDIUM</x:t>
  </x:si>
  <x:si>
    <x:t xml:space="preserve">What global GHG emission reduction does IPCC AR6 WG3 recommend by 2030 to limit warming to 1.5 degrees Celsius?</x:t>
  </x:si>
  <x:si>
    <x:t xml:space="preserve">WG3_SPM_2022</x:t>
  </x:si>
  <x:si>
    <x:t xml:space="preserve">IPCC AR6 WG3 states that limiting warming to 1.5°C requires global net anthropogenic CO2 emissions to decline by about 43 percent from 2019 levels by 2030 and reach net zero by around 2050. For all GHGs, a reduction of 43 percent is needed by 2030.</x:t>
  </x:si>
  <x:si>
    <x:t xml:space="preserve">~43% reduction in net global GHG emissions by 2030 (relative to 2019; range 34–60%), for pathways limiting warming to 1.5°C (&gt;50%) with no or limited overshoot</x:t>
  </x:si>
  <x:si>
    <x:t xml:space="preserve">Full</x:t>
  </x:si>
  <x:si>
    <x:t xml:space="preserve">G009</x:t>
  </x:si>
  <x:si>
    <x:t xml:space="preserve">GAP DETECTION</x:t>
  </x:si>
  <x:si>
    <x:t xml:space="preserve">Is there a contradiction between China's 2060 carbon neutrality commitment and IPCC AR6's recommendation for achieving net zero CO2 by around 2050?</x:t>
  </x:si>
  <x:si>
    <x:t xml:space="preserve">NDC2_2021_China</x:t>
  </x:si>
  <x:si>
    <x:t xml:space="preserve">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x:t>
  </x:si>
  <x:si>
    <x:t xml:space="preserve">Based only on this document, the question cannot be answered. The document states China's commitment — peak CO2 before 2030 and carbon neutrality before 2060 (PDF pp.5, 8) — and defends this differentiated timeline on equity/CBDR grounds (PDF pp.8–9, 49–50). But it never states IPCC AR6's "net zero by ~2050" recommendation; its only IPCC references (AR5 on p.29, AR6 author count on p.53) give no target year. With no IPCC benchmark in the text, no contradiction can be identified from this document alone.</x:t>
  </x:si>
  <x:si>
    <x:t xml:space="preserve">Partial</x:t>
  </x:si>
  <x:si>
    <x:t xml:space="preserve">consistent on the raw numbers, divergent on sourcing scope and on how confidently a "contradiction" can be declared.</x:t>
  </x:si>
  <x:si>
    <x:t xml:space="preserve">C012</x:t>
  </x:si>
  <x:si>
    <x:t xml:space="preserve">COMPARATIVE</x:t>
  </x:si>
  <x:si>
    <x:t xml:space="preserve">HARD</x:t>
  </x:si>
  <x:si>
    <x:t xml:space="preserve">How do India's and China's NDC submissions reference the principle of common but differentiated responsibilities (CBDR)?</x:t>
  </x:si>
  <x:si>
    <x:t xml:space="preserve">NDC1_2015_India</x:t>
  </x:si>
  <x:si>
    <x:t xml:space="preserve">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x:t>
  </x:si>
  <x:si>
    <x:t xml:space="preserve">Both India and China invoke CBDR but with different emphasis. India frames it around climate justice, highlighting its per capita emissions of only 1.56 metric tonnes against 7–15 metric tonnes in developed countries, and quotes its Prime Minister that CBDR is "the bedrock of our collective enterprise", making its INDC contingent on developed country finance and technology transfer. China frames CBDR as a legal and structural obligation, demanding it be embedded in the Paris Agreement text, clearly stating developed countries must take "economy-wide absolute quantified emission reduction targets" while developing countries act only when "supported and enabled by finance, technology and capacity building." Both agree developed countries must lead, but India uses CBDR to protect its development rights while China uses it to enforce binding differentiated obligations.</x:t>
  </x:si>
  <x:si>
    <x:t xml:space="preserve">The existing answer captures the broad difference correctly but misses key document-specific evidence such as India's 1.56 metric tonnes per capita emission figure, the PM's direct CBDR quote, and China's legal demand for "economy-wide absolute quantified emission reduction targets</x:t>
  </x:si>
  <x:si>
    <x:t xml:space="preserve">G001</x:t>
  </x:si>
  <x:si>
    <x:t xml:space="preserve">What is the gap between China's 2030 non-fossil energy target and IPCC AR6 recommendations for the energy sector?</x:t>
  </x:si>
  <x:si>
    <x:t xml:space="preserve">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x:t>
  </x:si>
  <x:si>
    <x:t xml:space="preserve">China aims for non-fossil sources to account for about 25% of primary energy consumption by 2030. IPCC AR6 scenarios indicate that a 1.5°C-consistent pathway would require roughly 31–41% non-fossil energy by 2030, whereas a 2°C pathway requires around 25–29%. As a result, China's target is broadly in line with the lower range of 2°C pathways but remains below the levels typically associated with a 1.5°C trajectory, leaving an estimated shortfall of 6–16 percentage points relative to 1.5°C benchmarks.</x:t>
  </x:si>
  <x:si>
    <x:t xml:space="preserve">raw/NDC/China/NDC2_2021_China.pdf  raw/IPCC_AR6/WG3/WG3_Chapter06_EnergySystems_2022.pdf  raw/IPCC_AR6/WG3/WG3_SPM_2022.pdf</x:t>
  </x:si>
  <x:si>
    <x:t xml:space="preserve">C009</x:t>
  </x:si>
  <x:si>
    <x:t xml:space="preserve">How did China's renewable energy target evolve between NDC1 (2016) and NDC2 (2021)?</x:t>
  </x:si>
  <x:si>
    <x:t xml:space="preserve">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x:t>
  </x:si>
  <x:si>
    <x:t xml:space="preserve">China's NDC1 (2015) set a target of 20% non-fossil fuels in primary energy consumption by 2030, along with a 200 GW solar capacity goal. NDC2 (2021) strengthened this by raising the non-fossil fuel share to 25% and introducing a much more ambitious combined wind and solar capacity target of over 1,200 GW by 2030. While the energy mix target saw a modest 5 percentage point increase, the capacity target represents a dramatic scale-up, reflecting China's accelerated renewable energy ambitions over the five-year period.</x:t>
  </x:si>
  <x:si>
    <x:t xml:space="preserve">F028</x:t>
  </x:si>
  <x:si>
    <x:t xml:space="preserve">How did India's NDC2 (2022) update its renewable energy target compared to NDC1 (2015)?</x:t>
  </x:si>
  <x:si>
    <x:t xml:space="preserve">NDC2_2022_India</x:t>
  </x:si>
  <x:si>
    <x:t xml:space="preserve">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x:t>
  </x:si>
  <x:si>
    <x:t xml:space="preserve">Confirmed in NDC2_2022_India: 'about 50 percent' non-fossil installed capacity by 2030 (40% in NDC1) and emissions intensity 45% below 2005 (33-35% in NDC1).</x:t>
  </x:si>
  <x:si>
    <x:t xml:space="preserve">F010</x:t>
  </x:si>
  <x:si>
    <x:t xml:space="preserve">EASY</x:t>
  </x:si>
  <x:si>
    <x:t xml:space="preserve">What is the European Union's binding 2030 greenhouse gas reduction target under its NDC2?</x:t>
  </x:si>
  <x:si>
    <x:t xml:space="preserve">NDC2_2020_EU</x:t>
  </x:si>
  <x:si>
    <x:t xml:space="preserve">The European Union commits to a binding target of at least 55 percent net domestic reduction of greenhouse gas emissions by 2030 compared to 1990, enshrined in the European Climate Law.</x:t>
  </x:si>
  <x:si>
    <x:t xml:space="preserve">EU's Binding 2030 Greenhouse Gas Reduction Target  The EU and its Member States are committed to a binding target of a net domestic reduction of at least 55% in greenhouse gas emissions by 2030 compared to 1990 levels.</x:t>
  </x:si>
  <x:si>
    <x:t xml:space="preserve">G024</x:t>
  </x:si>
  <x:si>
    <x:t xml:space="preserve">What is the gap between G20 developed nations' climate finance commitments in their NDC2 and the IPCC-identified needs of developing nations?</x:t>
  </x:si>
  <x:si>
    <x:t xml:space="preserve">WG2_Chapter17_DecisionMakingRisk_2022</x:t>
  </x:si>
  <x:si>
    <x:t xml:space="preserve">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x:t>
  </x:si>
  <x:si>
    <x:t xml:space="preserve">Gap = ~USD 394 billion/year (5× underfunded)    Delivered: USD 79.6B/year (2019)  IPCC need: USD 474B/year by 2030  Own $100B pledge: never met — $20.4B short  NDC2 texts: no finance commitments from any G20 developed nation except UK (£11.6B/5 years)    Sources: WG3_Chapter14 · WG2_Chapter17 · G20 NDC2 files</x:t>
  </x:si>
  <x:si>
    <x:t xml:space="preserve">Correct on the $100B gap and absent NDC2 commitments, but the $2.4 trillion figure and "24× underfunding" claim do not exist in your documents; the correct figure is $474B/year (5× gap).</x:t>
  </x:si>
  <x:si>
    <x:t xml:space="preserve">G012</x:t>
  </x:si>
  <x:si>
    <x:t xml:space="preserve">Identify the gap between India's agriculture sector NDC commitments and IPCC AR6 recommendations for agricultural emissions.</x:t>
  </x:si>
  <x:si>
    <x:t xml:space="preserve">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x:t>
  </x:si>
  <x:si>
    <x:t xml:space="preserve">Gap: India Agriculture NDC2 vs. IPCC AR6  India NDC2: Agriculture mentioned once — adaptation only, zero quantified mitigation targets for CH₄/N₂O.  IPCC AR6 recommends: 1.8–4.1 GtCO₂-eq/yr reduction from crop &amp; livestock management, 50% achievable at under USD 20/tCO₂-eq — near-term, low-cost.  Gap = Complete structural absence, not a shortfall in degree  India reframes agriculture as a climate victim; IPCC identifies it as one of the most cost-effective mitigation opportunities — especially critical given India holds the world's largest livestock population and extensive rice paddy coverage.  Sources: NDC2_2022_India.pdf · WG3_SPM_2022.pdf · WG3_Chapter02</x:t>
  </x:si>
  <x:si>
    <x:t xml:space="preserve">Correct on missing quantified targets and adaptation framing, but "20–30% mitigation by 2050" and "14% of national emissions" are not found anywhere in your documents.</x:t>
  </x:si>
  <x:si>
    <x:t xml:space="preserve">C014</x:t>
  </x:si>
  <x:si>
    <x:t xml:space="preserve">Compare the structural quality of Indonesia's NDC2 versus Turkey's NDC2 in terms of specificity, measurability, and time-bound targets.</x:t>
  </x:si>
  <x:si>
    <x:t xml:space="preserve">NDC2_2022_Indonesia</x:t>
  </x:si>
  <x:si>
    <x:t xml:space="preserve">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x:t>
  </x:si>
  <x:si>
    <x:t xml:space="preserve">Indonesia's NDC2 is more structured and detailed: sector-specific targets (energy, transport, forestry, agriculture, waste), both unconditional (29%) and conditional (41%) targets backed by a full sector-by-sector reduction table (Table 1, p22), and a dedicated adaptation annex. Turkey's NDC2 gives a single economy-wide 41%-vs-BAU target with no sector breakdown, but stronger time-bound anchors (base year 2012, peak by 2038, net-zero by 2053, quantified BAU of 1,175 Mt incl. LULUCF). Indonesia scores higher on measurability and specificity; Turkey on time-bound clarity.</x:t>
  </x:si>
  <x:si>
    <x:t xml:space="preserve">Agree: Indonesia is more structured (sector-specific targets, conditional/unconditional split, adaptation annex) and higher on specificity; Turkey gives one 41%-vs-BAU target with no sector breakdown.    Disagree: percentages are wrong — this 2021 doc says 29%/41% (p22), not 31.89%/43.20% (those are the 2022 Enhanced NDC). And "Just Transition" is Indonesia's strength, not Turkey's.</x:t>
  </x:si>
  <x:si>
    <x:t xml:space="preserve">C024</x:t>
  </x:si>
  <x:si>
    <x:t xml:space="preserve">Compare the transparency and reporting commitments in Japan's and South Korea's NDC2 submissions.</x:t>
  </x:si>
  <x:si>
    <x:t xml:space="preserve">NDC2_2021_Japan</x:t>
  </x:si>
  <x:si>
    <x:t xml:space="preserve">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x:t>
  </x:si>
  <x:si>
    <x:t xml:space="preserve">Japan offers stronger technical transparency — detailed sector-by-sector emission breakdowns using updated IPCC Fourth Assessment GWPs, with annual Prime Minister-led reviews. South Korea offers stronger institutional transparency — legally binding targets under the Carbon Neutrality Act (2021) and a more inclusive review process through the 2050 Carbon Neutrality Commission involving civil society and youth. Both submit annual progress reports publicly, but Japan is more methodologically rigorous while South Korea is more legislatively and participatorily robust.</x:t>
  </x:si>
  <x:si>
    <x:t xml:space="preserve">The points on Japan's legislative grounding and South Korea's K-ETS monitoring linkage are reasonable. However, neither document explicitly mentions "biennial transparency reporting" — that term does not appear in either NDC2 text. Also, Japan's "Basic Environment Plan" is not referenced in the uploaded Japan NDC2 document. These appear to be external knowledge claims not supported by the uploaded documents, which was the agreed basis for this analysis.</x:t>
  </x:si>
  <x:si>
    <x:t xml:space="preserve">F018</x:t>
  </x:si>
  <x:si>
    <x:t xml:space="preserve">What are Mexico's unconditional and conditional GHG reduction targets under its NDC2?</x:t>
  </x:si>
  <x:si>
    <x:t xml:space="preserve">NDC2_2022_Mexico</x:t>
  </x:si>
  <x:si>
    <x:t xml:space="preserve">Mexico's NDC2 commits to an unconditional reduction of 35 percent and a conditional reduction of 40 percent in national greenhouse gas emissions by 2030, compared to a business-as-usual scenario. Mexico also targets 35 percent renewable energy by 2024.</x:t>
  </x:si>
  <x:si>
    <x:t xml:space="preserve">Mexico's NDC2 targets:  GHG emissions: 35% unconditional reduction by 2030 (30% domestic + 5% international), rising to up to 40% conditional on international support.  Black carbon: 51% unconditional, 70% conditional by 2030.  Baseline: 991 MtCO₂e (2030). The 35% equals 347 MtCO₂e avoided; conditional commitments total 397 MtCO₂e.</x:t>
  </x:si>
  <x:si>
    <x:t xml:space="preserve">More details needed in your answer</x:t>
  </x:si>
  <x:si>
    <x:t xml:space="preserve">C017</x:t>
  </x:si>
  <x:si>
    <x:t xml:space="preserve">How do the USA's and EU's NDC2 submissions address methane reduction compared to the IPCC-recommended 34 percent reduction by 2030?</x:t>
  </x:si>
  <x:si>
    <x:t xml:space="preserve">NDC2_2021_USA</x:t>
  </x:si>
  <x:si>
    <x:t xml:space="preserve">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x:t>
  </x:si>
  <x:si>
    <x:t xml:space="preserve">Neither NDC2 sets a methane-specific target—both fold methane into an economy-wide, all-gas cut (US: 50–52% below 2005; EU: ≥55% below 1990, by 2030), addressing it only qualitatively (US: leak plugging, manure/nutrient management; EU: waste rules, falling fugitive emissions). With methane not disaggregated and the 34% IPCC figure unreferenced, neither can be measured against it without modelling the implied methane trajectory from external data.</x:t>
  </x:si>
  <x:si>
    <x:t xml:space="preserve">right on the targets and the missing 34%-aligned figure, but it imports two facts not in the documents.</x:t>
  </x:si>
  <x:si>
    <x:t xml:space="preserve">F029</x:t>
  </x:si>
  <x:si>
    <x:t xml:space="preserve">Does Indonesia's NDC2 explicitly address loss and damage from climate change?</x:t>
  </x:si>
  <x:si>
    <x:t xml:space="preserve">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x:t>
  </x:si>
  <x:si>
    <x:t xml:space="preserve">No. While the document briefly mentions loss and damage once in Section 1.2 — noting that successful mitigation will help Indonesia better deal with it — there is no dedicated section, specific targets, funding allocation, or policy framework addressing loss and damage as a standalone issue in Indonesia's NDC2.</x:t>
  </x:si>
  <x:si>
    <x:t xml:space="preserve">F016</x:t>
  </x:si>
  <x:si>
    <x:t xml:space="preserve">What is South Korea's 2030 NDC target expressed as a percentage reduction from BAU?</x:t>
  </x:si>
  <x:si>
    <x:t xml:space="preserve">NDC2_2021_South_Korea</x:t>
  </x:si>
  <x:si>
    <x:t xml:space="preserve">South Korea commits to reducing national greenhouse gas emissions by 40 percent compared to the 2018 business-as-usual levels by 2030.</x:t>
  </x:si>
  <x:si>
    <x:t xml:space="preserve">South Korea's NDC2 target is a 40% reduction from 2018 GHG levels (727.6 MtCO2eq) by 2030 — an absolute base-year target. The document states Korea replaced its earlier BAU-based target with an economy-wide absolute target, so the target cannot be expressed as a reduction from BAU; the question's premise does not match the document.</x:t>
  </x:si>
  <x:si>
    <x:t xml:space="preserve">F009</x:t>
  </x:si>
  <x:si>
    <x:t xml:space="preserve">What net zero target has the UK set and what legislation underpins it?</x:t>
  </x:si>
  <x:si>
    <x:t xml:space="preserve">NDC2_2022_UK</x:t>
  </x:si>
  <x:si>
    <x:t xml:space="preserve">The UK targets net zero greenhouse gas emissions by 2050, enshrined in the Climate Change Act 2008 as amended in 2019. This makes the UK the first major economy to set a net zero target in law.</x:t>
  </x:si>
  <x:si>
    <x:t xml:space="preserve">Target: Net zero greenhouse gas emissions by 2050, on a whole-economy basis.  Legislation: The Climate Change Act 2008 — amended on 27 June 2019 — makes this a legally binding commitment.</x:t>
  </x:si>
  <x:si>
    <x:t xml:space="preserve">G017</x:t>
  </x:si>
  <x:si>
    <x:t xml:space="preserve">What is the gap in G20 NDC2 submissions regarding nature-based solutions and biodiversity protection compared to IPCC recommendations?</x:t>
  </x:si>
  <x:si>
    <x:t xml:space="preserve">WG3_Chapter06_EnergySystems_2022</x:t>
  </x:si>
  <x:si>
    <x:t xml:space="preserve">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x:t>
  </x:si>
  <x:si>
    <x:t xml:space="preserve">The IPCC WG3 SPM (Section D.1.4) explicitly recommends reforestation, forest conservation, and restoration of natural ecosystems and biodiversity as high-synergy mitigation options. However, most G20 NDC2s fall short — only UK and Canada make explicit NbS commitments; Brazil, Indonesia, and Argentina mention forests/ecosystems but without quantified targets; while USA, India, South Korea, Mexico, and Saudi Arabia include no NbS or biodiversity protection commitments at all. WG3 Chapter 13 itself confirms the gap, noting only that "some NDCs include EbA and NbS."</x:t>
  </x:si>
  <x:si>
    <x:t xml:space="preserve">The directional finding (G20 NDC2s lack quantified NbS targets vs. IPCC recommendations) is supported by the documents, but the specific "10–12 GtCO₂e/year" figure and "WG3 Chapter 7" reference cannot be verified as that chapter is absent from the zip.</x:t>
  </x:si>
  <x:si>
    <x:t xml:space="preserve">C010</x:t>
  </x:si>
  <x:si>
    <x:t xml:space="preserve">How does the UK's NDC2 assess its per-capita emissions relative to global 1.5 degree pathway benchmarks?</x:t>
  </x:si>
  <x:si>
    <x:t xml:space="preserve">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x:t>
  </x:si>
  <x:si>
    <x:t xml:space="preserve">The UK assesses its NDC2 as aligned with IPCC 1.5°C pathways on both per-capita and economy-wide measures. Projected 2030 emissions of under 4 tCO2e per person fall within the 3.5–4 tCO2e range implied by median 1.5°C scenarios. Its ~42% cut on 2019 levels marginally exceeds AR6's ~41% benchmark, and its ~57% cut on 2010 levels clears SR1.5's ~45% mark. The NDC is also on a trajectory to net zero by 2050, consistent with a least-cost path to staying below 1.5°C.</x:t>
  </x:si>
  <x:si>
    <x:t xml:space="preserve">C001</x:t>
  </x:si>
  <x:si>
    <x:t xml:space="preserve">Compare the 2030 GHG reduction targets of the United States and the European Union. Which is more ambitious and why?</x:t>
  </x:si>
  <x:si>
    <x:t xml:space="preserve">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x:t>
  </x:si>
  <x:si>
    <x:t xml:space="preserve">The US (NDC2_2021_USA) targets 50–52% below 2005 levels by 2030 (base emissions: 6,635 Mt CO₂e), while the EU (NDC2_2020_EU) targets at least 55% below 1990 levels by 2030 through domestic measures only. However, the EU document notes emissions had already fallen ~26% below 1990 by 2019, with peaks as far back as 1979, meaning much of the reduction reflects prior structural change. The US document notes it was already at 17% below 2005 by 2020, cutting from a higher, more recent baseline. On headline numbers the EU leads, but the real-world ambition gap is smaller than it appears.</x:t>
  </x:si>
  <x:si>
    <x:t xml:space="preserve">The existing answer is partially correct but includes claims outside the documents. My answer stays fully within the documents while providing stronger context.</x:t>
  </x:si>
  <x:si>
    <x:t xml:space="preserve">G010</x:t>
  </x:si>
  <x:si>
    <x:t xml:space="preserve">What is the gap in G20 NDC2 submissions regarding loss and damage compared to IPCC AR6 WG2 findings on irreversible climate impacts?</x:t>
  </x:si>
  <x:si>
    <x:t xml:space="preserve">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x:t>
  </x:si>
  <x:si>
    <x:t xml:space="preserve">WG2_SPM_2022.pdf (p.13) — actions limiting warming to 1.5°C "cannot eliminate them all" (very high confidence).  WG2_Chapter17 (p.25) — L&amp;D assessments in NDCs "have remained scarce" (high confidence).  WG2_Chapter18 (p.72) — explicitly flags "little consideration of the implications of NDCs for poverty and livelihoods" and "limits to adaptation" as key barriers.  Against this, 15 of 17 G20 NDC2s contain zero mention of loss and damage. NDC2_2021_South_Africa.pdf and NDC2_2022_Indonesia.pdf make passing references only — no targets, no finance, no governance.</x:t>
  </x:si>
  <x:si>
    <x:t xml:space="preserve">Correct that no G20 NDC2 has quantified L&amp;D finance commitments, but wrong that India mentions impacts (NDC2_2022_India.pdf has zero mentions). The gap is also deeper than finance alone — WG2_Chapter17 (p.25) explicitly states L&amp;D assessments in NDCs "have remained scarce," and WG2_SPM_2022.pdf (p.13) confirms losses cannot be eliminated even at 1.5°C.</x:t>
  </x:si>
  <x:si>
    <x:t xml:space="preserve">F001</x:t>
  </x:si>
  <x:si>
    <x:t xml:space="preserve">What is India's target for cumulative electric power installed capacity from non-fossil fuel-based energy resources by 2030?</x:t>
  </x:si>
  <x:si>
    <x:t xml:space="preserve">India targets achieving about 50 percent cumulative electric power installed capacity from non-fossil fuel-based energy resources by 2030. This commitment is conditional on international finance and technology transfer.</x:t>
  </x:si>
  <x:si>
    <x:t xml:space="preserve">India's target: 50 percent cumulative electric power installed capacity from non-fossil fuel-based energy resources by 2030.
</x:t>
  </x:si>
  <x:si>
    <x:t xml:space="preserve">F002</x:t>
  </x:si>
  <x:si>
    <x:t xml:space="preserve">By how much does India commit to reducing the emissions intensity of its GDP by 2030, compared to 2005 levels?</x:t>
  </x:si>
  <x:si>
    <x:t xml:space="preserve">India commits to reducing the emissions intensity of its GDP by 45 percent by 2030, compared to 2005 levels. This is an updated target from the original 33-35 percent in India's NDC1.</x:t>
  </x:si>
  <x:si>
    <x:t xml:space="preserve">India commits to reducing the emissions intensity of its GDP by 45 percent by 2030, compared to 2005 levels.</x:t>
  </x:si>
  <x:si>
    <x:t xml:space="preserve">F003</x:t>
  </x:si>
  <x:si>
    <x:t xml:space="preserve">What is India's target for additional carbon sink creation through forest and tree cover by 2030?</x:t>
  </x:si>
  <x:si>
    <x:t xml:space="preserve">India targets creating an additional carbon sink of 2.5 to 3 billion tonnes of CO2 equivalent through additional forest and tree cover by 2030.</x:t>
  </x:si>
  <x:si>
    <x:t xml:space="preserve">India targets creating an additional carbon sink of 2.5 to 3 billion tonnes of CO₂ equivalent through additional forest and tree cover by 2030.</x:t>
  </x:si>
  <x:si>
    <x:t xml:space="preserve">F004</x:t>
  </x:si>
  <x:si>
    <x:t xml:space="preserve">When does China commit to achieving peak CO2 emissions under its NDC2?</x:t>
  </x:si>
  <x:si>
    <x:t xml:space="preserve">China commits to peaking CO2 emissions before 2030, as stated in its 2021 NDC update. China also commits to achieving carbon neutrality before 2060.</x:t>
  </x:si>
  <x:si>
    <x:t xml:space="preserve">China commits to having CO₂ emissions peak before 2030, and to achieving carbon neutrality before 2060.</x:t>
  </x:si>
  <x:si>
    <x:t xml:space="preserve">F005</x:t>
  </x:si>
  <x:si>
    <x:t xml:space="preserve">What is China's 2030 target for installed capacity of wind and solar power?</x:t>
  </x:si>
  <x:si>
    <x:t xml:space="preserve">China targets reaching over 1,200 gigawatts of wind and solar power installed capacity by 2030.</x:t>
  </x:si>
  <x:si>
    <x:t xml:space="preserve">China targets bringing its total installed capacity of wind and solar power to over 1.2 billion kilowatts (i.e., 1,200 GW) by 2030.</x:t>
  </x:si>
  <x:si>
    <x:t xml:space="preserve">F006</x:t>
  </x:si>
  <x:si>
    <x:t xml:space="preserve">What share of non-fossil fuels in primary energy consumption does China target by 2030?</x:t>
  </x:si>
  <x:si>
    <x:t xml:space="preserve">China targets increasing the share of non-fossil fuels in primary energy consumption to around 25 percent by 2030, an increase from the earlier 20 percent target in the previous NDC.</x:t>
  </x:si>
  <x:si>
    <x:t xml:space="preserve">China commits to increasing the share of non-fossil fuels in its primary energy consumption to around 25 percent by 2030, raising its ambition from the earlier 2015 NDC1 target of around 20 percent</x:t>
  </x:si>
  <x:si>
    <x:t xml:space="preserve">F007</x:t>
  </x:si>
  <x:si>
    <x:t xml:space="preserve">What is the United States' 2030 economy-wide greenhouse gas emissions reduction target under its NDC2?</x:t>
  </x:si>
  <x:si>
    <x:t xml:space="preserve">The United States targets reducing its economy-wide net greenhouse gas emissions by 50 to 52 percent below 2005 levels by 2030.</x:t>
  </x:si>
  <x:si>
    <x:t xml:space="preserve">The United States commits to an economy-wide target of reducing its net greenhouse gas emissions by 50 to 52 percent below 2005 levels by 2030. </x:t>
  </x:si>
  <x:si>
    <x:t xml:space="preserve">F008</x:t>
  </x:si>
  <x:si>
    <x:t xml:space="preserve">What is the United Kingdom's 2030 greenhouse gas reduction target and the baseline year used?</x:t>
  </x:si>
  <x:si>
    <x:t xml:space="preserve">The United Kingdom commits to reducing economy-wide greenhouse gas emissions by at least 68 percent by 2030, compared to 1990 levels. This is the UK's first NDC submitted after leaving the European Union.</x:t>
  </x:si>
  <x:si>
    <x:t xml:space="preserve">The United Kingdom commits to reducing economy-wide greenhouse gas emissions by at least 68 percent by 2030, compared to 1990 levels, as communicated in its NDC in December 2020.</x:t>
  </x:si>
  <x:si>
    <x:t xml:space="preserve">The 68% target and 1990 baseline are both correct. However, the claim that this is "the UK's first NDC submitted after leaving the European Union" is not supported anywhere in the document — that framing/context does not appear in NDC2_2022_UK.pdf and should be dropped or independently verified outside this source.</x:t>
  </x:si>
  <x:si>
    <x:t xml:space="preserve">F011</x:t>
  </x:si>
  <x:si>
    <x:t xml:space="preserve">What is Japan's 2030 greenhouse gas reduction target and what baseline year does it use?</x:t>
  </x:si>
  <x:si>
    <x:t xml:space="preserve">Japan commits to reducing greenhouse gas emissions by 46 percent by fiscal year 2030 compared to fiscal year 2013 levels, and aims for a further 50 percent reduction through continuous efforts.</x:t>
  </x:si>
  <x:si>
    <x:t xml:space="preserve">Japan commits to reducing its greenhouse gas emissions by 46 percent in fiscal year 2030 from its fiscal year 2013 levels equivalent to cutting emissions to 760 million t-CO2 from a 2013 base of 1,408 million t-CO2 while continuing efforts toward a further, more ambitious goal of a 50 percent reduction from the same fiscal year 2013 baseline. </x:t>
  </x:si>
  <x:si>
    <x:t xml:space="preserve">F012</x:t>
  </x:si>
  <x:si>
    <x:t xml:space="preserve">What is Australia's 2030 emissions reduction target and net zero commitment year?</x:t>
  </x:si>
  <x:si>
    <x:t xml:space="preserve">NDC2_2022_Australia</x:t>
  </x:si>
  <x:si>
    <x:t xml:space="preserve">Australia commits to reducing greenhouse gas emissions by 43 percent below 2005 levels by 2030. Australia also commits to net zero emissions by 2050.</x:t>
  </x:si>
  <x:si>
    <x:t xml:space="preserve">Australia commits to reducing greenhouse gas emissions by 43 percent below 2005 levels by 2030 — half as much again as its previous target of 26–28 percent — and reaffirms a target to achieve net zero emissions by 2050. </x:t>
  </x:si>
  <x:si>
    <x:t xml:space="preserve">F013</x:t>
  </x:si>
  <x:si>
    <x:t xml:space="preserve">What is Brazil's 2030 absolute emissions reduction target and baseline year?</x:t>
  </x:si>
  <x:si>
    <x:t xml:space="preserve">NDC2_2022_Brazil</x:t>
  </x:si>
  <x:si>
    <x:t xml:space="preserve">Brazil commits to reducing greenhouse gas emissions by 50 percent by 2030 compared to 2005 levels, as stated in its updated 2023 NDC adjustment. Brazil also commits to achieving climate neutrality by 2050.</x:t>
  </x:si>
  <x:si>
    <x:t xml:space="preserve">Brazil commits to an absolute net greenhouse gas emission target in 2030 of 1.20 GtCO2e, consistent with a reduction of 53.1 percent compared to 2005 levels using 2005 as its reference year and further reiterates its long-term objective to achieve climate neutrality by 2050. </x:t>
  </x:si>
  <x:si>
    <x:t xml:space="preserve">The baseline year (2005) and the 2050 climate neutrality commitment are correct. However, the reduction figure is wrong: the document states 53.1 percent, not 50 percent, for the 2030 target (corresponding to an absolute target of 1.20 GtCO2e). The "2023 NDC adjustment" framing is also not the title of the document used the file is NDC2_2022_Brazil.pdf.</x:t>
  </x:si>
  <x:si>
    <x:t xml:space="preserve">F014</x:t>
  </x:si>
  <x:si>
    <x:t xml:space="preserve">What are Indonesia's unconditional and conditional GHG reduction targets by 2030?</x:t>
  </x:si>
  <x:si>
    <x:t xml:space="preserve">Indonesia commits to an unconditional reduction of 31.89 percent and a conditional reduction of 43.20 percent below the business-as-usual scenario by 2030. The conditional target depends on international support.</x:t>
  </x:si>
  <x:si>
    <x:t xml:space="preserve">Indonesia commits to an unconditional reduction of 29 percent against the business-as-usual (BAU) scenario by 2030, with the possibility of increasing this to a conditional reduction of up to 41 percent, subject to the availability of international support for finance, technology transfer, and capacity building.</x:t>
  </x:si>
  <x:si>
    <x:t xml:space="preserve">None</x:t>
  </x:si>
  <x:si>
    <x:t xml:space="preserve">The figures in the existing answer (31.89% unconditional, 43.20% conditional) do not appear anywhere in NDC2_2022_Indonesia.pdf. The document explicitly states the unconditional target as 29% and the conditional target as up to 41% against the BAU scenario by 2030. The mechanism described (conditional on international support) is correctly characterized, but both numeric values in the existing answer are incorrect.</x:t>
  </x:si>
  <x:si>
    <x:t xml:space="preserve">F015</x:t>
  </x:si>
  <x:si>
    <x:t xml:space="preserve">What are Indonesia's primary climate adaptation priorities identified in its NDC2?</x:t>
  </x:si>
  <x:si>
    <x:t xml:space="preserve">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x:t>
  </x:si>
  <x:si>
    <x:t xml:space="preserve">Indonesia's NDC2 frames its adaptation goal around reducing risk, enhancing adaptive capacity, strengthening resilience, and reducing vulnerability across all development sectors, organized into three core resilience areas: economic resilience, social and livelihood resilience, and ecosystem and landscape resilience. Within its National Medium-Term Development Plan (RPJMN 2020–2024), this is operationalized with a sectoral focus on water, agriculture, health, and coastal and marine ecosystems. </x:t>
  </x:si>
  <x:si>
    <x:t xml:space="preserve">Sectors listed (water, health, agriculture, coastal/marine) overlap with the document, but the existing answer misses the primary framework: Indonesia's NDC2 organizes adaptation around three resilience pillars (economic, social/livelihood, ecosystem/landscape), not sectors. "Infrastructure resilience" and "climate resilient development pathways" are not stated as named priorities on this page.</x:t>
  </x:si>
  <x:si>
    <x:t xml:space="preserve">F017</x:t>
  </x:si>
  <x:si>
    <x:t xml:space="preserve">What is Canada's 2030 emissions reduction commitment range and its baseline?</x:t>
  </x:si>
  <x:si>
    <x:t xml:space="preserve">NDC2_2021_Canada</x:t>
  </x:si>
  <x:si>
    <x:t xml:space="preserve">Canada commits to reducing national greenhouse gas emissions by 40 to 45 percent below 2005 levels by 2030, with a 2050 net zero target enshrined in the Canadian Net-Zero Emissions Accountability Act.</x:t>
  </x:si>
  <x:si>
    <x:t xml:space="preserve">Canada commits to reducing greenhouse gas emissions by 40 to 45 percent below 2005 levels by 2030, and is additionally committed to reaching net-zero GHG emissions by 2050 — a commitment codified into law through the Canadian Net-Zero Emissions Accountability Act, which received Royal Assent on June 29, 2021. </x:t>
  </x:si>
  <x:si>
    <x:t xml:space="preserve">F019</x:t>
  </x:si>
  <x:si>
    <x:t xml:space="preserve">What is South Africa's NDC2 emissions range target for the period 2025-2030?</x:t>
  </x:si>
  <x:si>
    <x:t xml:space="preserve">NDC2_2021_South_Africa</x:t>
  </x:si>
  <x:si>
    <x:t xml:space="preserve">South Africa commits to a greenhouse gas emission range of 350 to 420 MtCO2e per year for the period 2025 to 2030. This represents a peak-plateau-decline trajectory.</x:t>
  </x:si>
  <x:si>
    <x:t xml:space="preserve">South Africa's NDC2 sets two distinct single-year emissions targets rather than one continuous range: annual GHG emissions of 398–510 Mt CO2-eq for 2025 (covering implementation period 2021–2025), and 350–420 Mt CO2-eq for 2030 (covering implementation period 2026–2030), framed within a peak-plateau-decline trajectory carried forward from South Africa's first NDC. </x:t>
  </x:si>
  <x:si>
    <x:t xml:space="preserve">The 350–420 MtCO2e figure and the peak-plateau-decline framing are both correct, but only for the 2030 target specifically. The existing answer mischaracterizes this single-year 2030 figure as covering the entire "2025 to 2030" period — the document actually specifies a separate, higher range (398–510 Mt CO2-eq) for 2025, with 350–420 Mt CO2-eq applying only to 2030.</x:t>
  </x:si>
  <x:si>
    <x:t xml:space="preserve">F020</x:t>
  </x:si>
  <x:si>
    <x:t xml:space="preserve">What is Saudi Arabia's NDC2 absolute emissions reduction target by 2030?</x:t>
  </x:si>
  <x:si>
    <x:t xml:space="preserve">NDC2_2021_Saudi_Arabia</x:t>
  </x:si>
  <x:si>
    <x:t xml:space="preserve">Saudi Arabia commits to achieving a reduction and avoidance of greenhouse gas emissions of 278 million tonnes of CO2 equivalent per year by 2030. This includes both mitigation and circular carbon economy measures.</x:t>
  </x:si>
  <x:si>
    <x:t xml:space="preserve">Saudi Arabia commits to reducing, avoiding, and removing greenhouse gas emissions by 278 million tons of CO2 equivalent annually by 2030 using 2019 as the base year representing more than a two-fold increase from its previous ambition of 130 million tons of CO2 equivalent under its earlier INDC, achieved through measures including its Circular Carbon Economy approach. </x:t>
  </x:si>
  <x:si>
    <x:t xml:space="preserve">F021</x:t>
  </x:si>
  <x:si>
    <x:t xml:space="preserve">What is Argentina's 2030 absolute emissions cap under its NDC2?</x:t>
  </x:si>
  <x:si>
    <x:t xml:space="preserve">NDC2_2021_Argentina</x:t>
  </x:si>
  <x:si>
    <x:t xml:space="preserve">Argentina commits to not exceeding the net emission of 349 million tonnes of CO2 equivalent in 2030. This represents an unconditional absolute cap.</x:t>
  </x:si>
  <x:si>
    <x:t xml:space="preserve">Argentina commits to an absolute and unconditional goal, applicable to all sectors of the economy, to not exceed net emissions of 349 million tons of CO2 equivalent (MtCO2e) by 2030.</x:t>
  </x:si>
  <x:si>
    <x:t xml:space="preserve">F022</x:t>
  </x:si>
  <x:si>
    <x:t xml:space="preserve">What is Turkey's 2030 GHG reduction target relative to BAU?</x:t>
  </x:si>
  <x:si>
    <x:t xml:space="preserve">NDC2_2023_Turkey</x:t>
  </x:si>
  <x:si>
    <x:t xml:space="preserve">Turkey commits to reducing greenhouse gas emissions by up to 41 percent compared to the business-as-usual scenario by 2030.</x:t>
  </x:si>
  <x:si>
    <x:t xml:space="preserve">Turkey commits to reducing economy-wide greenhouse gas emissions by 41 percent by 2030  equivalent to 695 Mt CO2 eq compared to the business-as-usual (BAU) scenario set out in its first NDC, with 2012 as the reference year. </x:t>
  </x:si>
  <x:si>
    <x:t xml:space="preserve">The 41% figure and BAU comparison are correct, but the document states a fixed 41% target, not "up to 41%" there is no conditional or ceiling framing in the text. The existing answer also omits the base year (2012) and the absolute equivalent figure (695 Mt CO2 eq), both of which are explicitly stated in the document.</x:t>
  </x:si>
  <x:si>
    <x:t xml:space="preserve">F023</x:t>
  </x:si>
  <x:si>
    <x:t xml:space="preserve">What is Russia's 2030 GHG reduction target and the baseline used in its NDC2?</x:t>
  </x:si>
  <x:si>
    <x:t xml:space="preserve">NDC2_2022_Russia</x:t>
  </x:si>
  <x:si>
    <x:t xml:space="preserve">Russia commits to limiting greenhouse gas emissions to 70 percent of 1990 levels by 2030, which is equivalent to a 30 percent reduction below 1990 levels, subject to maximum possible accounting of the absorptive capacity of forests.</x:t>
  </x:si>
  <x:si>
    <x:t xml:space="preserve">Russia's current (second) NDC commits to reducing greenhouse gas emissions by up to 65–67 percent compared to 1990 levels but by 2035, not 2030 taking into account the maximum possible absorptive capacity of forests and other natural ecosystems, and subject to sustainable socio-economic development conditions. </x:t>
  </x:si>
  <x:si>
    <x:t xml:space="preserve">The existing answer's figures belong to Russia's first NDC (2020), not its second NDC. The document explicitly states the second NDC supersedes the first with a different, later target: 65–67% of 1990 levels by 2035 (not 70% by 2030). The forest absorption caveat is correctly characterized, but both the percentage and the target year in the existing answer are incorrect for NDC2.</x:t>
  </x:si>
  <x:si>
    <x:t xml:space="preserve">F025</x:t>
  </x:si>
  <x:si>
    <x:t xml:space="preserve">According to IPCC AR6 WG3, what renewable electricity share is required by 2050 for 1.5 degree pathways?</x:t>
  </x:si>
  <x:si>
    <x:t xml:space="preserve">IPCC AR6 WG3 Chapter 6 states that renewable electricity reaches 70 to 85 percent of global electricity supply by 2050 in pathways that limit warming to 1.5°C with no or limited overshoot.</x:t>
  </x:si>
  <x:si>
    <x:t xml:space="preserve">The documents do not contain the figure "70–85 percent renewable electricity by 2050." What WG3_Chapter06_EnergySystems_2022.pdf (Executive Summary) actually states is that low-carbon sources (not specifically "renewables" this includes nuclear and CCS-fossil) produce 93–97% of global electricity by 2050 in 2°C (&gt;67%) pathways, and that electricity supplies 48–58% of final energy by 2050 in 1.5°C (&gt;50%) no-or-limited-overshoot pathways, up from 20% in 2019.</x:t>
  </x:si>
  <x:si>
    <x:t xml:space="preserve">The "70 to 85 percent" figure does not appear anywhere in WG3_Chapter06_EnergySystems_2022.pdf, the WG3 SPM, or the WG3 Technical Summary. The chapter's actual headline figures are 93–97% low-carbon electricity share by 2050 (2°C pathway, not specifically "renewable") and 48–58% electricity-as-share-of-final-energy by 2050 (1.5°C pathway) — both materially different from the claimed figure and the claimed metric.</x:t>
  </x:si>
  <x:si>
    <x:t xml:space="preserve">F026</x:t>
  </x:si>
  <x:si>
    <x:t xml:space="preserve">What does IPCC AR6 WG3 state about the required trajectory for methane emissions to limit warming to 1.5 degrees?</x:t>
  </x:si>
  <x:si>
    <x:t xml:space="preserve">IPCC AR6 WG3 states that methane emissions need to be reduced by approximately 34 percent by 2030 relative to 2019 levels in pathways that limit warming to 1.5°C. Methane reductions provide near-term climate benefits by reducing warming rates.</x:t>
  </x:si>
  <x:si>
    <x:t xml:space="preserve">In pathways limiting warming to 1.5°C (&gt;50%) with no or limited overshoot, IPCC AR6 WG3 states that global methane (CH4) emissions are reduced by 34% [21–57%] by 2030, by 44% [31–63%] by 2040, and by 45% [25–70%] by 2050, relative to 2019 levels with deep methane reductions specifically identified as lowering peak warming and reducing the likelihood of overshooting warming limits.</x:t>
  </x:si>
  <x:si>
    <x:t xml:space="preserve">F027</x:t>
  </x:si>
  <x:si>
    <x:t xml:space="preserve">According to IPCC AR6 WG3, what share of global electricity supply did renewables reach by 2019 and what was the cost trend?</x:t>
  </x:si>
  <x:si>
    <x:t xml:space="preserve">IPCC AR6 WG3 reports that renewables accounted for about 29 percent of global electricity supply in 2019. The cost of solar PV fell by approximately 85 percent and wind energy by approximately 55 percent between 2010 and 2019.</x:t>
  </x:si>
  <x:si>
    <x:t xml:space="preserve">The documents do not state "29 percent" for renewables' 2019 electricity share; WG3_Chapter06_EnergySystems_2022.pdf instead reports solar PV and wind together at 8%, hydroelectric at 16% (combined ~24% renewables), with total low- and zero-carbon electricity (including nuclear) at 37% of global generation in 2019. The cost figures are correct: WG3_SPM_2022.pdf (Page 15) confirms solar energy costs fell 85% and wind energy costs fell 55% between 2010 and 2019.</x:t>
  </x:si>
  <x:si>
    <x:t xml:space="preserve">The cost trend figures (85% solar, 55% wind, 2010–2019) are verified exactly. The "29 percent" renewable electricity share for 2019 does not appear in either document and should be corrected to the figures actually stated (8% solar+wind, 16% hydro, 37% total low-carbon).</x:t>
  </x:si>
  <x:si>
    <x:t xml:space="preserve">F030</x:t>
  </x:si>
  <x:si>
    <x:t xml:space="preserve">What international climate finance condition does India attach to its NDC2 commitments?</x:t>
  </x:si>
  <x:si>
    <x:t xml:space="preserve">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x:t>
  </x:si>
  <x:si>
    <x:t xml:space="preserve">India explicitly conditions only its non-fossil electricity capacity target (50% by 2030) on receiving "transfer of technology and low-cost international finance including from Green Climate Fund (GCF)." The 45% emissions intensity reduction target carries no such conditional language in the document  it is stated unconditionally. </x:t>
  </x:si>
  <x:si>
    <x:t xml:space="preserve">The conditionality on the 50% non-fossil capacity target (technology transfer, GCF finance) is correctly stated. However, the claim that the 45% emissions intensity target is "described as conditional on international support" is not supported — the document attaches no such condition to that target; it is presented as an unconditional commitment.</x:t>
  </x:si>
  <x:si>
    <x:t xml:space="preserve">C002</x:t>
  </x:si>
  <x:si>
    <x:t xml:space="preserve">Compare the net zero target years and legislative bases of the UK, EU, Canada, and Japan.</x:t>
  </x:si>
  <x:si>
    <x:t xml:space="preserve">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x:t>
  </x:si>
  <x:si>
    <x:t xml:space="preserve">The UK's Climate Change Act 2008 was amended on 27 June 2019 to set a legally-binding net zero by 2050 target; the EU commits to climate neutrality by 2050 under its agreed objective, governed by Regulation (EU) 2018/1999 and the European Climate Law; Canada's net zero by 2050 commitment is codified in the Canadian Net-Zero Emissions Accountability Act, which received Royal Assent on 29 June 2021; and Japan's net-zero by 2050 goal was made a Basic Principle of law through the Act Partially Amending the Act on Promotion of Global Warming Countermeasures (Act No. 54 of 2021)  not merely announced.</x:t>
  </x:si>
  <x:si>
    <x:t xml:space="preserve">The UK, EU, and Canada entries are verified exactly. The Japan entry is incorrect: net-zero by 2050 is not just "announced... and reflected in NDC2" — it is legislatively codified as a Basic Principle under Act No. 54 of 2021, the same legislative-basis category as the other three countries.</x:t>
  </x:si>
  <x:si>
    <x:t xml:space="preserve">C003</x:t>
  </x:si>
  <x:si>
    <x:t xml:space="preserve">Compare India's and China's renewable energy commitments in their NDC2 submissions. Which country has a more specific and measurable target?</x:t>
  </x:si>
  <x:si>
    <x:t xml:space="preserve">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x:t>
  </x:si>
  <x:si>
    <x:t xml:space="preserve">India commits to 50% cumulative installed electric power capacity from non-fossil sources by 2030 (NDC2_2022_India.pdf, p.3); China commits to over 1.2 billion kW (1,200 GW) of wind and solar capacity plus 25% non-fossil fuels in primary energy consumption by 2030 (NDC2_2021_China.pdf, p.8). China's absolute GW figure is more directly quantifiable as a single number, but neither document provides a baseline capacity figure for comparison, so the claim that only India's target "lacks a clear baseline" is not supported by either text.</x:t>
  </x:si>
  <x:si>
    <x:t xml:space="preserve">The two targets are stated correctly. The comparative conclusion (China's target being more specific/measurable) is a reasonable reading, but the supporting claim that India's target "lacks a clear baseline" while implying China's has one is incorrect — neither NDC2_2022_India.pdf nor NDC2_2021_China.pdf states a current baseline capacity figure for the respective targets.</x:t>
  </x:si>
  <x:si>
    <x:t xml:space="preserve">C004</x:t>
  </x:si>
  <x:si>
    <x:t xml:space="preserve">Why is it difficult to directly compare Japan's 2030 target with the USA's 2030 target, and how should researchers adjust for this?</x:t>
  </x:si>
  <x:si>
    <x:t xml:space="preserve">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x:t>
  </x:si>
  <x:si>
    <x:t xml:space="preserve">The documents confirm only the baseline mismatch itself: Japan's target (46% reduction by fiscal year 2030) is set against a fiscal year 2013 baseline, while the USA's target (50–52% reduction by 2030) is set against a 2005 baseline different reference years with different national emission levels, making a direct percentage comparison without adjustment unreliable. Neither NDC2_2021_Japan.pdf nor NDC2_2021_USA.pdf contains any stated conversion factor, "2005-equivalent" recalculation, or recommended common-reference-year methodology.</x:t>
  </x:si>
  <x:si>
    <x:t xml:space="preserve">The core observation  different baseline years (2013 vs. 2005) make direct comparison misleading is correct and verifiable. However, the specific claim that "46% below 2013 translates to approximately 50% below 2005" and the recommendation to use "2019 or absolute MtCO2e" as a common reference do not appear in either document these are external analytical additions, not findings from the source texts, and should not be presented as document-grounded.</x:t>
  </x:si>
  <x:si>
    <x:t xml:space="preserve">C005</x:t>
  </x:si>
  <x:si>
    <x:t xml:space="preserve">Compare the use of conditional targets in Indonesia's, Mexico's, and India's NDC2 submissions.</x:t>
  </x:si>
  <x:si>
    <x:t xml:space="preserve">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x:t>
  </x:si>
  <x:si>
    <x:t xml:space="preserve">Mexico (35% unconditional / 40% conditional) is correct. Indonesia's actual figures are 29% unconditional / up to 41% conditional — not 31.89%/43.20% — so the real gap is 12 points, not 11.3. India conditions only its 50% non-fossil capacity target, not "all major targets."</x:t>
  </x:si>
  <x:si>
    <x:t xml:space="preserve">Mexico correct; Indonesia's figures and resulting gap calculation are wrong; India's conditionality is overstated.</x:t>
  </x:si>
  <x:si>
    <x:t xml:space="preserve">C006</x:t>
  </x:si>
  <x:si>
    <x:t xml:space="preserve">Compare the 2030 ambition level of Australia's NDC2 against the UK's NDC2 using the same baseline year.</x:t>
  </x:si>
  <x:si>
    <x:t xml:space="preserve">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x:t>
  </x:si>
  <x:si>
    <x:t xml:space="preserve">Australia targets 43% below 2005 by 2030 (NDC2_2022_Australia.pdf, p.3); UK targets at least 68% below 1990 by 2030 (NDC2_2022_UK.pdf, p.5). Neither document contains a 2005-rebaselining calculation or any Climate Action Tracker reference direct comparison requires external calculation not found in either NDC.</x:t>
  </x:si>
  <x:si>
    <x:t xml:space="preserve">The two headline figures and both 2050 net zero commitments are correct, but the "50-53% rebaselined" figure and CAT rating appear in neither document; they are external additions, not document-grounded findings.</x:t>
  </x:si>
  <x:si>
    <x:t xml:space="preserve">C007</x:t>
  </x:si>
  <x:si>
    <x:t xml:space="preserve">How do Brazil's and Indonesia's NDC2 submissions differ in their approach to forest-related climate commitments?</x:t>
  </x:si>
  <x:si>
    <x:t xml:space="preserve">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x:t>
  </x:si>
  <x:si>
    <x:t xml:space="preserve">Brazil commits to zero deforestation by 2030 under the PPCDAm Action Plan not "illegal deforestation," and no "12 million hectares" figure appears anywhere in the document (NDC2_2022_Brazil.pdf, p.9). Indonesia treats forestry through an explicit FOLU (Forestry and Other Land Use) sector with quantified peatland restoration targets and rewetting/revegetation assumptions (NDC2_2022_Indonesia.pdf, p.36), reflecting a more sector-granular approach than Brazil's single deforestation target.</x:t>
  </x:si>
  <x:si>
    <x:t xml:space="preserve">Indonesia's FOLU/peatland-sector framing is accurate, but Brazil's commitment is "zero deforestation," not "illegal deforestation," and "12 million hectares" is not stated in NDC2_2022_Brazil.pdf.</x:t>
  </x:si>
  <x:si>
    <x:t xml:space="preserve">C008</x:t>
  </x:si>
  <x:si>
    <x:t xml:space="preserve">Which G20 countries in the corpus explicitly mention carbon pricing mechanisms in their NDC2 submissions?</x:t>
  </x:si>
  <x:si>
    <x:t xml:space="preserve">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x:t>
  </x:si>
  <x:si>
    <x:t xml:space="preserve">South Korea, the EU, Canada, and China all explicitly mention carbon pricing mechanisms: South Korea details its K-ETS covering 73.5% of national emissions (NDC2_2021_South_Korea.pdf, p.6); the EU references its EU ETS, operational since 2005 (NDC2_2020_EU.pdf, p.3); Canada describes its federal-provincial carbon pricing system including cap-and-trade and carbon tax variants (NDC2_2021_Canada.pdf, p.5); and China describes building its national ETS "by stages" from prior pilot programs, though no specific 2021 launch date appears in the text (NDC2_2021_China.pdf, p.14). Japan's NDC2 contains zero mentions of carbon pricing, carbon tax, or emissions trading.</x:t>
  </x:si>
  <x:si>
    <x:t xml:space="preserve">All five countries' inclusion/exclusion is correct, but China's "launched in 2021" detail is not stated in the document (it describes phased construction, not a specific launch year), and Japan's "Green Innovation Fund" claim does not appear anywhere in NDC2_2021_Japan.pdf.</x:t>
  </x:si>
  <x:si>
    <x:t xml:space="preserve">C011</x:t>
  </x:si>
  <x:si>
    <x:t xml:space="preserve">Compare the greenhouse gas scope coverage between Saudi Arabia's NDC2 and South Africa's NDC2.</x:t>
  </x:si>
  <x:si>
    <x:t xml:space="preserve">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x:t>
  </x:si>
  <x:si>
    <x:t xml:space="preserve">South Africa's NDC2 explicitly defines its gas scope as five greenhouse gases — CO2, CH4, N2O, HFCs, and PFCs — and explicitly states it excludes SF6 and NF3 due to lack of data, not all six Kyoto gases as claimed (NDC2_2021_South_Africa.pdf). Saudi Arabia's NDC2 does not contain an explicit gas-by-gas scope statement; it instead emphasizes Circular Carbon Economy measures including CCUS (Section 4.3) and a dedicated methane management section with a 30% methane reduction commitment under the Global Methane Pledge (Section 4.5) (NDC2_2021_Saudi_Arabia.pdf).</x:t>
  </x:si>
  <x:si>
    <x:t xml:space="preserve">South Africa's gas count is wrong: it covers five gases, not all six Kyoto Protocol gases, and explicitly excludes SF6 and NF3. The peak-plateau-decline framing for South Africa and the circular carbon economy/CCUS emphasis for Saudi Arabia are both correct, but Saudi Arabia's "CO2, CH4, N2O" gas-scope claim is not explicitly stated in the document in that form.</x:t>
  </x:si>
  <x:si>
    <x:t xml:space="preserve">C013</x:t>
  </x:si>
  <x:si>
    <x:t xml:space="preserve">Which countries in the G20 corpus include explicit electric vehicle targets in their NDC2 submissions?</x:t>
  </x:si>
  <x:si>
    <x:t xml:space="preserve">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x:t>
  </x:si>
  <x:si>
    <x:t xml:space="preserve">Among G20 NDC2s, the UK (p.17) commits to ending new petrol/diesel car sales by 2030; Australia (p.3), Canada (pp.25-36), China (pp.24-34), Russia (pp.13-15,33) mention EV deployment/infrastructure; South Korea (p.3) references "zero-emission vehicles" with no numeric target; EU has no explicit EV target (only general Green Deal mentions, pp.71,238). Source: respective NDC2 PDFs (UK, Australia, Canada, China, Russia, South_Korea, EU).</x:t>
  </x:si>
  <x:si>
    <x:t xml:space="preserve">Qualitative direction matches, but the specific figures cited (South Korea's 3.62M EVs/290K hydrogen vehicles, EU's 30M zero-emission vehicles) do not appear in the actual document text they're unverifiable/likely sourced from outside the corpus.</x:t>
  </x:si>
  <x:si>
    <x:t xml:space="preserve">C015</x:t>
  </x:si>
  <x:si>
    <x:t xml:space="preserve">Which G20 NDC2 submissions in the corpus explicitly address just transition principles for workers in fossil fuel industries?</x:t>
  </x:si>
  <x:si>
    <x:t xml:space="preserve">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x:t>
  </x:si>
  <x:si>
    <x:t xml:space="preserve">South Africa's NDC2 (pp.3,5-6,13,15,28-31) is the most explicit, detailing a Presidential Climate Commission overseeing the country's just transition. Argentina (pp.7,22,25,26,43,100), Canada (pp.9,39), Indonesia (pp.14,29), Turkey (pp.4,27,28,35), South Korea (pp.5,14), UK (pp.6,19,23,48), Russia (p.23), and EU (p.2, via Just Transition Fund) also reference just transition, though mostly in general terms without specific worker-number commitments. Source: NDC2 PDFs for South_Africa, Argentina, Canada, Indonesia, Turkey, South_Korea, UK, Russia, and EU.</x:t>
  </x:si>
  <x:si>
    <x:t xml:space="preserve">South Africa being the most explicit is correct, but the specific "120,000 direct workers" figure, the UK's "Just Transition Commission for Scotland," and Canada's "oil and gas workers" reference do not appear in the actual document text these are not verifiable from the corpus. Also, more countries (Argentina, Indonesia, Turkey, Russia, South Korea, EU) mention just transition than the existing answer's "most other submissions" framing suggests.</x:t>
  </x:si>
  <x:si>
    <x:t xml:space="preserve">C016</x:t>
  </x:si>
  <x:si>
    <x:t xml:space="preserve">Which has a more ambitious 2030 target relative to the IPCC 1.5°C benchmark — India or Australia?</x:t>
  </x:si>
  <x:si>
    <x:t xml:space="preserve">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x:t>
  </x:si>
  <x:si>
    <x:t xml:space="preserve">ustralia's NDC2 (pp.1-6, target table p.3) sets a more ambitious, unconditional 2030 target 43% absolute GHG reduction below 2005 levels versus India's NDC2 (p.1) target of 45% emissions-intensity reduction (not absolute) and 50% non-fossil power capacity by 2030. Per IPCC WG3 SPM (p. with C.1.1, ~p.17), a 1.5°C-aligned pathway requires a 43% global reduction from 2019 levels by 2030; neither target is directly comparable to this global benchmark since both are intensity/sector-based or base-year-2005 framed, not 2019-baseline absolute cuts. Source: NDC2_2022_Australia.pdf, NDC2_2022_India.pdf, WG3_SPM_2022.pdf.</x:t>
  </x:si>
  <x:si>
    <x:t xml:space="preserve">The core comparison (Australia's 43% absolute cut vs India's intensity/non-fossil targets) and IPCC's 43%-by-2030 benchmark are confirmed in the documents, but the existing answer's claims about India's target being "conditional" and references to "per-capita emissions"/CBDR are not found anywhere in India's NDC2 text  these are external additions not supported by the corpus.</x:t>
  </x:si>
  <x:si>
    <x:t xml:space="preserve">C018</x:t>
  </x:si>
  <x:si>
    <x:t xml:space="preserve">Compare how Russia and Brazil account for LULUCF in their NDC2 submissions.</x:t>
  </x:si>
  <x:si>
    <x:t xml:space="preserve">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x:t>
  </x:si>
  <x:si>
    <x:t xml:space="preserve">Russia's NDC2 (pp.3,5-6,16-20,23,25,29-31,34,36-37) conditions its target (reduction to 70% of 1990 emission levels by 2030/2035, i.e. ~30% cut) on taking into account "the maximum possible absorptive capacity of forests and other ecosystems," explicitly building large LULUCF sink credits into the target. Brazil's NDC2 (pp.4,6-7,9) instead commits to zero (illegal) deforestation by 2030 under the PPCDAm action plan and references restoration of degraded lands, framing forests as an active mitigation/protection measure rather than a target-conditioning offset. Source: NDC2_2022_Russia.pdf, NDC2_2022_Brazil.pdf.</x:t>
  </x:si>
  <x:si>
    <x:t xml:space="preserve">The core distinction (Russia conditioning its target on forest absorptive capacity vs. Brazil's deforestation/restoration commitments) is confirmed in the documents, but the existing answer says "30% reduction target," while the document actually states the target as "reduction to 70% of 1990 levels" (mathematically equivalent but not phrased that way), and Brazil's NDC2 text says "zero deforestation," not "halting illegal deforestation" as worded in the existing answer.</x:t>
  </x:si>
  <x:si>
    <x:t xml:space="preserve">C019</x:t>
  </x:si>
  <x:si>
    <x:t xml:space="preserve">Compare the overall ambition of G20 collective NDC2 targets against the IPCC-recommended 2030 pathway. Is the collective on track?</x:t>
  </x:si>
  <x:si>
    <x:t xml:space="preserve">WG3_TechnicalSummary_2022</x:t>
  </x:si>
  <x:si>
    <x:t xml:space="preserve">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x:t>
  </x:si>
  <x:si>
    <x:t xml:space="preserve">IPCC WG3 SPM (C.1.1) requires a 43% global GHG reduction by 2030 from 2019 levels for a 1.5°C pathway. The IPCC Synthesis Report 2023 (SPM A.4.3) states a substantial "emissions gap" exists, with NDCs announced before COP26 keeping 2030 emissions "similar to or only slightly below 2019 levels," and that NDC-consistent pathways would lead to median global warming of 2.8°C [2.1-3.4°C] by 2100 making 1.5°C unlikely. This confirms the G20/global NDC collective falls well short of the 1.5°C pathway. Source: WG3_SPM_2022.pdf, SYR_FullVolume_2023.pdf.</x:t>
  </x:si>
  <x:si>
    <x:t xml:space="preserve">The 43% reduction benchmark and "substantially falls short" conclusion are confirmed, but the specific figures are wrong  the document does not state a "10-16% increase" (it instead says NDC emissions stay near/slightly below 2019 levels), and the projected warming is 2.8°C, not 2.5°C, as stated in the existing answer.</x:t>
  </x:si>
  <x:si>
    <x:t xml:space="preserve">C020</x:t>
  </x:si>
  <x:si>
    <x:t xml:space="preserve">Which developing G20 countries in the corpus make the strongest explicit calls for adaptation finance from developed nations?</x:t>
  </x:si>
  <x:si>
    <x:t xml:space="preserve">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x:t>
  </x:si>
  <x:si>
    <x:t xml:space="preserve">South Africa's NDC2 (p.13) makes the strongest explicit adaptation-finance call, specifying access to adaptation finance and a target of "advancing adaptation finance by the private sector" with funding goals around 4% of GDP. India's NDC2 (p.3) calls to "mobilize domestic and new &amp; additional funds from developed countries" but does not mention a specific USD 100 billion figure. Indonesia's NDC2 (p.13) references securing financial support for adaptation planning. Brazil's NDC2 contains no comparable explicit adaptation-finance appeal. Source: NDC2_2021_South_Africa.pdf, NDC2_2022_India.pdf, NDC2_2022_Indonesia.pdf, NDC2_2022_Brazil.pdf.</x:t>
  </x:si>
  <x:si>
    <x:t xml:space="preserve">The general ranking and Brazil's contrast are roughly supported, but the existing answer's claim that India invokes the "USD 100 billion per year commitment" does not appear in India's NDC2 text, and South Africa not India has the most explicit/specific adaptation finance language in the corpus.</x:t>
  </x:si>
  <x:si>
    <x:t xml:space="preserve">C021</x:t>
  </x:si>
  <x:si>
    <x:t xml:space="preserve">Compare the sector coverage of Canada's and Mexico's NDC2 submissions.</x:t>
  </x:si>
  <x:si>
    <x:t xml:space="preserve">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x:t>
  </x:si>
  <x:si>
    <x:t xml:space="preserve">Canada's NDC2 (pp.3-42, e.g. pp.25-31,33,35-42) covers energy, oil &amp; gas, transportation, buildings, heavy industry, agriculture, forestry, and waste with detailed sector-specific measures and quantification. Mexico's NDC2 (Spanish-language; pp.10-15) covers similar sectors land use/LULUCF (p.10), transport (p.11), electricity generation (p.12, which explicitly mentions "generación distribuida renovable"/distributed renewable generation), industry (p.13), oil &amp; gas (p.14), agriculture &amp; livestock (p.14), residential/commercial buildings (p.14), and waste (p.15) with comparatively more qualitative, narrative descriptions per sector versus Canada's more quantified targets. Source: NDC2_2021_Canada.pdf, NDC2_2022_Mexico.pdf.</x:t>
  </x:si>
  <x:si>
    <x:t xml:space="preserve">All major claims are verified in the documents both countries cover comparable sectors (energy, transport, industry, agriculture, forestry/land use, waste, buildings), Mexico's electricity section explicitly emphasizes distributed renewable generation, and Canada's NDC2 contains more detailed/quantified sector measures while Mexico's are more qualitative.</x:t>
  </x:si>
  <x:si>
    <x:t xml:space="preserve">C022</x:t>
  </x:si>
  <x:si>
    <x:t xml:space="preserve">How do China's and South Korea's NDC2 submissions differ in their approach to hydrogen as a clean energy technology?</x:t>
  </x:si>
  <x:si>
    <x:t xml:space="preserve">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x:t>
  </x:si>
  <x:si>
    <x:t xml:space="preserve">China's NDC2 (pp.42,54) explicitly mentions hydrogen committing to build hydrogen filling stations for transport and listing "hydrogen energy" as a priority technology for low-carbon industrial breakthroughs. South Korea's NDC2 (p.3) only briefly references hydrogen once, in general terms, with no numeric vehicle/station targets in the text. Source: NDC2_2021_China.pdf, NDC2_2021_South_Korea.pdf.</x:t>
  </x:si>
  <x:si>
    <x:t xml:space="preserve">The existing answer is factually inverted China's NDC2 does explicitly mention hydrogen (filling stations, hydrogen energy R&amp;D), while South Korea's NDC2 contains only one passing hydrogen reference with no "290,000 vehicles/450 stations" target found anywhere in the document; these specific figures do not appear in the corpus.</x:t>
  </x:si>
  <x:si>
    <x:t xml:space="preserve">C023</x:t>
  </x:si>
  <x:si>
    <x:t xml:space="preserve">Why do Russia's and Turkey's NDC2 targets appear modest compared to other G20 nations, and what contextual factors explain this?</x:t>
  </x:si>
  <x:si>
    <x:t xml:space="preserve">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x:t>
  </x:si>
  <x:si>
    <x:t xml:space="preserve">Russia's NDC2 (pp.3-5,~37) targets a 65-70% reduction relative to a 1990 baseline — a high baseline since Soviet-era emissions were far above post-1991 levels, making the target appear modest in real terms. Turkey's NDC2 (pp.1-2) confirms it ratified the Paris Agreement only in 2021 and this submission is explicitly Turkey's "updated first NDC" (using 2012 as base year, BAU-based), reflecting its limited prior commitment depth and developing-country framing. Source: NDC2_2022_Russia.pdf, NDC2_2023_Turkey.pdf.</x:t>
  </x:si>
  <x:si>
    <x:t xml:space="preserve">The 1990-baseline explanation for Russia and Turkey's late-2021 ratification/first-NDC status are both confirmed in the documents, but the claim that "Russia uses LULUCF accounting to soften effective reductions" — while plausible based on prior questions about forest absorptive capacity — and the "large fossil fuel industries" framing are not explicitly stated as causal explanations within these NDC2 texts; they are reasonable inference, not document-sourced fact.</x:t>
  </x:si>
  <x:si>
    <x:t xml:space="preserve">C025</x:t>
  </x:si>
  <x:si>
    <x:t xml:space="preserve">Which G20 NDC2 submissions explicitly address gender equity and social inclusion in climate action?</x:t>
  </x:si>
  <x:si>
    <x:t xml:space="preserve">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x:t>
  </x:si>
  <x:si>
    <x:t xml:space="preserve">Argentina's NDC2 (extensive, pp.7-106) is by far the most comprehensive on gender-climate integration. Most other G20 NDC2s also reference gender, including UK (pp.6,11,21-23,33,48), Canada (pp.10,14,17,21-23), Indonesia (pp.12-41), Turkey (pp.34-36), South Africa (pp.20,30), EU (pp.2,10,12), Australia, Japan, USA, South Korea, and Russia. Source: NDC2_2021_Argentina.pdf and the respective country NDC2 PDFs.</x:t>
  </x:si>
  <x:si>
    <x:t xml:space="preserve">Argentina's strong lead is correct, but the claim it's the "only G20 country" with gender-climate integration is false gender is referenced in 12 of 13 NDC2s checked, and the cited "National Action Plan on Gender and Climate Change" title isn't found verbatim in the document.</x:t>
  </x:si>
  <x:si>
    <x:t xml:space="preserve">G002</x:t>
  </x:si>
  <x:si>
    <x:t xml:space="preserve">Identify the gap between India's NDC2 long-term targets and IPCC AR6 net zero recommendations for developing nations.</x:t>
  </x:si>
  <x:si>
    <x:t xml:space="preserve">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x:t>
  </x:si>
  <x:si>
    <x:t xml:space="preserve">India's NDC2 (p.4) explicitly states the update is "a step forward towards our long term goal of reaching net-zero by 2070" the 2070 target IS in the NDC2 text itself, not merely an external announcement. IPCC WG3 SPM (Table 3.1, ~p.21) indicates 1.5°C pathways require global net-zero CO2 around 2050, leaving roughly a 20-year gap between India's 2070 commitment and the IPCC's global benchmark, though IPCC text doesn't specify a separate developing-nation timeline. Source: NDC2_2022_India.pdf, WG3_SPM_2022.pdf.</x:t>
  </x:si>
  <x:si>
    <x:t xml:space="preserve">The existing answer's central claim — that "India has no net zero target year specified in its NDC2" and that 2070 was announced "outside the formal NDC process" is factually wrong; the document explicitly states the 2070 net-zero goal on page 4 of the NDC2 itself.</x:t>
  </x:si>
  <x:si>
    <x:t xml:space="preserve">G003</x:t>
  </x:si>
  <x:si>
    <x:t xml:space="preserve">Assess the gap between G20 NDC2 methane commitments and IPCC AR6 methane reduction recommendations.</x:t>
  </x:si>
  <x:si>
    <x:t xml:space="preserve">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x:t>
  </x:si>
  <x:si>
    <x:t xml:space="preserve">IPCC WG3 SPM (~p.20, para C.1.1) confirms a 34% [21-57%] global methane reduction is needed by 2030 (vs 2019/2020) for 1.5°C pathways. In the NDC2 corpus, the Global Methane Pledge's 30%-by-2030 target is explicitly referenced by Saudi Arabia (NDC2_2021_Saudi_Arabia.pdf, p.7), South Korea (NDC2_2021_South_Korea.pdf, pp.7,16), and UK (NDC2_2022_UK.pdf, p.16) as members all falling short of IPCC's 34% benchmark; no NDC2 in the corpus commits to a standalone 34% methane target. Source: WG3_SPM_2022.pdf, NDC2_2021_Saudi_Arabia.pdf, NDC2_2021_South_Korea.pdf, NDC2_2022_UK.pdf.</x:t>
  </x:si>
  <x:si>
    <x:t xml:space="preserve">The IPCC 34% figure and "no NDC2 meets it" conclusion are confirmed, but the existing answer is factually wrong claiming Saudi Arabia hasn't signed the Global Methane Pledge its own NDC2 explicitly states Saudi Arabia is a member; South Korea's membership is also undocumented in the existing answer's signer list.</x:t>
  </x:si>
  <x:si>
    <x:t xml:space="preserve">G004</x:t>
  </x:si>
  <x:si>
    <x:t xml:space="preserve">What is the gap between developing G20 nations' identified adaptation needs and the international finance commitments in their NDC2 submissions?</x:t>
  </x:si>
  <x:si>
    <x:t xml:space="preserve">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x:t>
  </x:si>
  <x:si>
    <x:t xml:space="preserve">G20 developing nations' NDC2s mostly state adaptation needs without quantifying required international finance — India and Indonesia ask for funds to close the "resource gap" with no amount specified, while South Africa is the exception, naming a floor of USD 8 billion/year by 2030 (split evenly with mitigation). No document in this corpus supports a "USD 127 billion" adaptation finance-needs figure; IPCC WG2 only refers to "127 key risks," an unrelated number.
Source: NDC2_2022_India.pdf (p.3); NDC2_2022_Indonesia.pdf (p.27); NDC2_2021_South_Africa.pdf (pp.29–30); WG2_TechnicalSummary_2022.pdf (p.21)</x:t>
  </x:si>
  <x:si>
    <x:t xml:space="preserve">correct that most NDC2s leave finance unquantified, but wrong that South Africa lacks a figure (it states USD 8bn/yr), and the "USD 127 billion" IPCC citation isn't in the source documents (only "127 key risks" appears, a different fact entirely).</x:t>
  </x:si>
  <x:si>
    <x:t xml:space="preserve">G005</x:t>
  </x:si>
  <x:si>
    <x:t xml:space="preserve">Which G20 NDC2 submissions in the corpus include coal phase-out commitments, and how does this compare to IPCC guidance?</x:t>
  </x:si>
  <x:si>
    <x:t xml:space="preserve">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x:t>
  </x:si>
  <x:si>
    <x:t xml:space="preserve">UK (phase out unabated coal by 2024), Canada (coal phase-out by 2030), and South Korea (coal phase-down + ban on new coal plants) have explicit coal commitments in their NDC2s. China has only partial pledges (no new overseas coal, phase out outdated capacity domestically). India, Indonesia, South Africa, Australia, Japan, and the EU include no coal phase-out commitment. IPCC WG3 calls for coal use without CCS to fall 67–82% by 2030 in 1.5°C pathways only UK, Canada, and South Korea align directionally; most G20 coal users fall short.
Source: NDC2_2022_UK.pdf (p.17); NDC2_2021_Canada.pdf (p.26); NDC2_2021_South_Korea.pdf (pp.2,24); NDC2_2021_China.pdf (pp.5,17,51); NDC2_2020_EU.pdf (no coal mention); WG3_TechnicalSummary_2022.pdf (p.43)</x:t>
  </x:si>
  <x:si>
    <x:t xml:space="preserve">UK/Canada and the "no commitment" countries are correctly identified, but the IPCC figure is wrong (67–82%, not 59–78%), the EU has no coal mention at all (no Green Deal reference exists in its NDC2), South Korea's commitment was omitted, and China is mischaracterized as having no commitment when it has narrower pledges.</x:t>
  </x:si>
  <x:si>
    <x:t xml:space="preserve">G006</x:t>
  </x:si>
  <x:si>
    <x:t xml:space="preserve">Identify three G20 NDC2 commitments that are vague and lack measurability compared to IPCC quantified recommendations.</x:t>
  </x:si>
  <x:si>
    <x:t xml:space="preserve">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x:t>
  </x:si>
  <x:si>
    <x:t xml:space="preserve">Examples of vague/unmeasurable G20 NDC2 commitments: (1) Russia sets a 65–67% reduction target by 2035 "taking into account the maximum possible absorptive capacity of forests," an undefined qualifier with no quantified forest-sink value. (2) Saudi Arabia's "circular carbon economy" approach references carbon capture, utilisation and storage without specific deployment targets or timelines. (3) Argentina's headline target is actually unconditional and quantified net emissions not to exceed 349 MtCO2e by 2030 so it does not qualify as a vague example; the "369 MtCO2e conditional" claim is not supported by the document text.
Source: NDC2_2022_Russia.pdf (pp.3,29); NDC2_2021_Saudi_Arabia.pdf (pp.6,10-11); NDC2_2021_Argentina.pdf (p.6)</x:t>
  </x:si>
  <x:si>
    <x:t xml:space="preserve">Russia and Saudi Arabia examples are accurate. Argentina is wrong — the actual target is an unconditional 349 MtCO2e cap by 2030 (not 369, not conditional), so it isn't a valid example of vagueness; a third example would need to be sourced elsewhere in the corpus.</x:t>
  </x:si>
  <x:si>
    <x:t xml:space="preserve">G007</x:t>
  </x:si>
  <x:si>
    <x:t xml:space="preserve">What is the gap between G20 NDC2 transport sector commitments and IPCC AR6 WG3 transport decarbonisation recommendations?</x:t>
  </x:si>
  <x:si>
    <x:t xml:space="preserve">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x:t>
  </x:si>
  <x:si>
    <x:t xml:space="preserve">The IPCC WG3 SPM states global transport CO2 emissions must fall by 59% (42–68% interquartile range) by 2050 relative to 2020 in 1.5°C pathways not "59–84%," and there is no standalone "Chapter 10" document in this corpus (only SPM/TS references to it). Among G20 NDC2s, the UK is the clearest transport commitment, ending sales of new petrol and diesel vehicles by 2030. South Korea mentions it has "markedly raised" its 2030 zero-emission vehicle deployment target but does not state a specific number or percentage in its NDC2 text so it is not actually a quantified target. Most other G20 NDC2s (India, Indonesia, China, Brazil, etc.) treat transport within economy-wide targets with no sector-specific transport emissions percentage.
Source: WG3_SPM_2022.pdf (p.36); NDC2_2022_UK.pdf (p.17); NDC2_2021_South_Korea.pdf (p.3)</x:t>
  </x:si>
  <x:si>
    <x:t xml:space="preserve">UK's commitment and the broad "most G20 lack quantified transport targets" conclusion are correct, but the IPCC figure is wrong (59%, 42–68% range not 59–84%), the cited "WG3 Chapter 10" document doesn't exist standalone in the corpus, and South Korea's "specific EV target" claim is unsupported its NDC2 gives no actual number.</x:t>
  </x:si>
  <x:si>
    <x:t xml:space="preserve">G008</x:t>
  </x:si>
  <x:si>
    <x:t xml:space="preserve">Which sectors required by IPCC AR6 for deep decarbonisation are absent or underrepresented in Saudi Arabia's NDC2?</x:t>
  </x:si>
  <x:si>
    <x:t xml:space="preserve">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x:t>
  </x:si>
  <x:si>
    <x:t xml:space="preserve">Saudi Arabia's NDC2 actually does reference aviation, shipping, petrochemicals, and steel as future blue-hydrogen/CCUS target sectors, plans industrial decarbonisation via CCUS hubs in Jubail and Yanbu, and includes land-based actions (Saudi Green Initiative tree planting, mangrove/blue-carbon protection, desertification management) contrary to the existing claims. The real gap is the absence of any outward adaptation finance commitment to other vulnerable nations; Saudi only states its own NDC implementation is "not contingent on receiving international financial support."
Source: NDC2_2021_Saudi_Arabia.pdf (pp.4-8, 11)</x:t>
  </x:si>
  <x:si>
    <x:t xml:space="preserve">3 of 4 claimed gaps are factually wrong (aviation/shipping, industrial process, and land/forestry are all mentioned in the document); only the "no adaptation finance for vulnerable nations" point holds.</x:t>
  </x:si>
  <x:si>
    <x:t xml:space="preserve">G011</x:t>
  </x:si>
  <x:si>
    <x:t xml:space="preserve">Does Australia's 43% reduction by 2030 align with IPCC's recommended pathway for advanced economies?</x:t>
  </x:si>
  <x:si>
    <x:t xml:space="preserve">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x:t>
  </x:si>
  <x:si>
    <x:t xml:space="preserve">Australia's NDC2 target is confirmed as 43% reduction below 2005 levels by 2030 (not 2019), while IPCC WG3 SPM states global GHG emissions must fall 43% [34–60%] below 2019 levels by 2030 for 1.5°C pathways so the headline "43%" figures use different baseline years and aren't directly comparable. However, the corpus contains no IPCC-sourced "50–70% for developed economies" benchmark, and no Australia 2019 emissions figure to support the claimed "~38-40% below 2019" recalculation both are external/unverifiable within these documents.
Source: NDC2_2022_Australia.pdf (pp.3,7); WG3_SPM_2022.pdf (p.21)</x:t>
  </x:si>
  <x:si>
    <x:t xml:space="preserve">The core insight (43% Australia is measured against 2005, not the IPCC's 2019 baseline) is correctly identified and document-supported, but the "50-70% for developed economies" IPCC benchmark and the "38-40% below 2019" recalculated figure are not found anywhere in the provided documents they appear to be external estimates, not document-sourced.</x:t>
  </x:si>
  <x:si>
    <x:t xml:space="preserve">G013</x:t>
  </x:si>
  <x:si>
    <x:t xml:space="preserve">What implementation gaps exist between Mexico's NDC2 stated targets and its domestic policy framework?</x:t>
  </x:si>
  <x:si>
    <x:t xml:space="preserve">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x:t>
  </x:si>
  <x:si>
    <x:t xml:space="preserve">Mexico's NDC2 sets a 35% reduction target by 2030, but it is not unconditional it's funded by at least 30% domestic resources plus 5% international finance, with a separate conditional tier up to 40%. The NDC2 does cite domestic legislation, anchoring policies to Mexico's General Climate Change Law (2013). PEMEX and CFE appear only as implementing entities for mitigation actions, not as obstacles reversing renewables that narrative isn't in the document.
Source: NDC2_2022_Mexico.pdf (pp.9, 12, 14)</x:t>
  </x:si>
  <x:si>
    <x:t xml:space="preserve">the "unconditional 35%" framing is wrong (it's part domestic, part internationally-funded, with a separate conditional 40% target), the claim of "no domestic legislation referenced" is directly contradicted by the General Climate Change Law citation, and the PEMEX/CFE-reversal/declining-renewables claim has no support in this document.</x:t>
  </x:si>
  <x:si>
    <x:t xml:space="preserve">G014</x:t>
  </x:si>
  <x:si>
    <x:t xml:space="preserve">Which sectors required for deep decarbonisation by IPCC AR6 are missing from Russia's NDC2?</x:t>
  </x:si>
  <x:si>
    <x:t xml:space="preserve">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x:t>
  </x:si>
  <x:si>
    <x:t xml:space="preserve">All four sectors claimed "missing" actually appear in Russia's NDC2, just without quantified targets: renewable energy (solar, wind, hydropower) development is referenced (pp.9,11-12,20), "electrification of transport" is a stated LT-LEDS measure (p.9), industrial decarbonisation actions are described (coal sector, CCUS, hydrogen), and methane-reduction actions exist (oil/gas flaring and leak reduction, plus joining the 2024 "Declaration on Reducing Methane Emissions from Organic Waste," p.23). The real gap is lack of quantified numeric targets for these sectors not their absence.
Source: NDC2_2022_Russia.pdf (pp.9, 11-12, 20, 23)</x:t>
  </x:si>
  <x:si>
    <x:t xml:space="preserve">All four claimed absences are factually wrong renewable energy, transport electrification, industrial decarbonisation, and methane-reduction actions are all explicitly mentioned in Russia's NDC2. The true gap is lack of quantified targets for these sectors, not their complete absence as the existing answer states.</x:t>
  </x:si>
  <x:si>
    <x:t xml:space="preserve">G015</x:t>
  </x:si>
  <x:si>
    <x:t xml:space="preserve">Does South Korea's 2030 target of 40% below 2018 BAU align with IPCC requirements for developed economies, and what specific gaps exist?</x:t>
  </x:si>
  <x:si>
    <x:t xml:space="preserve">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x:t>
  </x:si>
  <x:si>
    <x:t xml:space="preserve">South Korea's target is 40% reduction from actual 2018 emissions (727.6 MtCO2eq) the NDC2 explicitly states it replaced its earlier BAU-based target with this absolute target, so the "BAU conversion to ~24%" claim is invalid. Real, supported gaps: aged coal plants are to shut down or shift to LNG with no LNG phase-out date; coal was ~40% of the power mix with a ban on new coal plants but no explicit phase-out year; and nuclear power is not mentioned anywhere in the document, so the "nuclear masking renewables" claim is unsupported.
Source: NDC2_2021_South_Korea.pdf (pp.1-2, 8-9, 24)</x:t>
  </x:si>
  <x:si>
    <x:t xml:space="preserve">coal/LNG gaps are accurate, but the core baseline claim is wrong (target is 40% below actual 2018 emissions, not BAU), invalidating the recalculated "~24%" figure, and the nuclear-power claim has no textual support.</x:t>
  </x:si>
  <x:si>
    <x:t xml:space="preserve">G016</x:t>
  </x:si>
  <x:si>
    <x:t xml:space="preserve">Assess the gap between G20 NDC2 carbon capture and storage (CCS) commitments and IPCC AR6 recommendations for CCS deployment.</x:t>
  </x:si>
  <x:si>
    <x:t xml:space="preserve">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x:t>
  </x:si>
  <x:si>
    <x:t xml:space="preserve">IPCC WG3 gives an annual CDR figure for BECCS specifically of 0.52–9.45 GtCO2/yr by 2050 (not a generic "1.5–9.5 GtCO2 CCS" range). Saudi Arabia references CCUS (circular carbon economy, planned hubs) without capacity targets, and the USA mentions carbon capture in its clean energy strategy both accurate. However, Japan's NDC2 has no mention of CCS, carbon capture, or sequestration at all. No G20 NDC2 specifies a quantified CCS deployment target.
Source: WG3_TechnicalSummary_2022.pdf (p.68); NDC2_2021_Saudi_Arabia.pdf (pp.6,11); NDC2_2021_USA.pdf (p.4); NDC2_2021_Japan.pdf (no CCS mention)</x:t>
  </x:si>
  <x:si>
    <x:t xml:space="preserve">Saudi Arabia/USA mentions and the "no quantified CCS targets" conclusion are correct, but the IPCC figure is imprecise (it's BECCS-specific, not generic CCS), and the claim that Japan mentions CCS is false — it appears nowhere in Japan's NDC2.</x:t>
  </x:si>
  <x:si>
    <x:t xml:space="preserve">G018</x:t>
  </x:si>
  <x:si>
    <x:t xml:space="preserve">What is the collective conditional versus unconditional gap across G20 NDC2 developing nations, and what does this mean for global ambition?</x:t>
  </x:si>
  <x:si>
    <x:t xml:space="preserve">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x:t>
  </x:si>
  <x:si>
    <x:t xml:space="preserve">Indonesia's actual split is 29% unconditional vs 41% conditional of BAU not "31.89% vs 43.20%" (that figure doesn't appear in the document). Mexico's figures are roughly accurate (35% domestic+partial international, rising to conditional 40%). India's NDC2 doesn't use formal "conditional/unconditional" terminology at all, unlike Indonesia's CM1/CM2 structure it just discusses general finance/resource gaps. The "~2–4 GtCO2e/year" aggregate gap figure appears nowhere in any document.
Source: NDC2_2022_Indonesia.pdf (pp.3,11,16,20); NDC2_2022_Mexico.pdf (p.9); NDC2_2022_India.pdf (p.3)</x:t>
  </x:si>
  <x:si>
    <x:t xml:space="preserve">Indonesia's percentages are wrong, India is mischaracterized as having a formal conditional-target split it doesn't use, and the "2-4 GtCO2e/year" figure has no source in the corpus; only Mexico's figures hold up.</x:t>
  </x:si>
  <x:si>
    <x:t xml:space="preserve">G019</x:t>
  </x:si>
  <x:si>
    <x:t xml:space="preserve">Assess the gap between G20 NDC2 industrial decarbonisation commitments and IPCC AR6 guidance for heavy industry.</x:t>
  </x:si>
  <x:si>
    <x:t xml:space="preserve">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x:t>
  </x:si>
  <x:si>
    <x:t xml:space="preserve">IPCC WG3 SPM identifies steel, cement, and chemicals as needing electrification, hydrogen, and CCS (pp.32-43); no dedicated industry chapter exists in this corpus. South Korea's NDC2 is actually quite specific naming steelmaking, petrochemicals, cement, with electric furnaces, naphtha-cracker shifts, and a cement energy-saving target (p.2). However, Japan's "Green Innovation Fund" appears nowhere in its NDC2, and the EU's NDC2 has no reference to "Industrial Strategy" or CBAM both claims are unsupported. China, India, and Brazil do treat industry within economy-wide targets without sector-level quantification.
Source: WG3_SPM_2022.pdf (pp.32-43); NDC2_2021_South_Korea.pdf (p.2); NDC2_2021_Japan.pdf (no mention); NDC2_2020_EU.pdf (no mention)</x:t>
  </x:si>
  <x:si>
    <x:t xml:space="preserve">the IPCC framing and broad "most G20 lack sector-specific industrial targets" conclusion hold, but the Japan "Green Innovation Fund" and EU "Industrial Strategy/CBAM" citations have no support in either document, and South Korea's commitments are more specific than the answer suggests.</x:t>
  </x:si>
  <x:si>
    <x:t xml:space="preserve">G020</x:t>
  </x:si>
  <x:si>
    <x:t xml:space="preserve">How does the distribution of G20 NDC2 ambition levels relate to historical cumulative emissions and the equity principle in IPCC AR6?</x:t>
  </x:si>
  <x:si>
    <x:t xml:space="preserve">WG3_Chapter04_MitigationDevelopmentPathways_2022</x:t>
  </x:si>
  <x:si>
    <x:t xml:space="preserve">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x:t>
  </x:si>
  <x:si>
    <x:t xml:space="preserve">PCC WG3 SPM (Section B.3) confirms major historical-emissions disparities LDCs contributed under 0.4% of cumulative CO2-FFI emissions (1850–2019) while a few regions hold the bulk supporting the equity principle. But "Climate Action Tracker" appears nowhere in this corpus the claim that Russia and Australia are "rated insufficient" by it is unsupported by any document. The corpus also doesn't explicitly name USA/EU/UK/Russia as top historical emitters or state that "current NDCs do not reflect equity adequately."
Source: WG3_SPM_2022.pdf (p.13, Section B.3); WG3_Chapter04_MitigationDevelopmentPathways_2022.pdf (p.34)</x:t>
  </x:si>
  <x:si>
    <x:t xml:space="preserve">the general equity/historical-emissions framing is broadly consistent with WG3 SPM, but the "Climate Action Tracker" citation is unsupported (absent from the corpus entirely), and the specific country-ranking and "IPCC finds NDCs don't reflect equity" claims aren't verifiable in the provided documents.</x:t>
  </x:si>
  <x:si>
    <x:t xml:space="preserve">G021</x:t>
  </x:si>
  <x:si>
    <x:t xml:space="preserve">Which G20 NDC2 submissions address fossil fuel subsidies, and how does this compare to IPCC guidance?</x:t>
  </x:si>
  <x:si>
    <x:t xml:space="preserve">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x:t>
  </x:si>
  <x:si>
    <x:t xml:space="preserve"> Indonesia is the clear G20 example addressing fossil fuel subsidies its NDC2 states it's "one of the pioneer countries for fossil fuel subsidy reform" and has "succeeded in removing fossil fuel subsidies" to redirect funds to renewables/infrastructure entirely omitted from the existing answer. Canada's NDC2 has no mention of fossil fuel subsidies, and the UK's NDC2 has no reference to "Green Finance Taxonomy" both cited claims are unsupported. Russia's "subsidies" mention relates to housing, not fossil fuels. No G20 NDC2 gives a phase-out timeline with specific amounts.
Source: NDC2_2022_Indonesia.pdf (p.17); NDC2_2021_Canada.pdf (no mention); NDC2_2022_UK.pdf (no mention); NDC2_2022_Russia.pdf (p.15, unrelated)</x:t>
  </x:si>
  <x:si>
    <x:t xml:space="preserve">the two specific examples (Canada, UK) appear nowhere in their documents, while Indonesia, the actual G20 nation addressing fossil fuel subsidies, was omitted entirely. Only the "Mexico/Saudi Arabia/Russia silent on it" part holds up.</x:t>
  </x:si>
  <x:si>
    <x:t xml:space="preserve">G022</x:t>
  </x:si>
  <x:si>
    <x:t xml:space="preserve">Which G20 countries in the corpus have net zero targets in their NDC2 and which do not, and how does this compare to IPCC's 2050 requirement?</x:t>
  </x:si>
  <x:si>
    <x:t xml:space="preserve">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x:t>
  </x:si>
  <x:si>
    <x:t xml:space="preserve">Countries WITH net-zero/carbon-neutrality targets in NDC2: UK, EU, Canada, Japan, South Korea, Australia, Brazil (all 2050), China (2060), India (2070), and Russia (2060) the last two were wrongly placed in the "no year" group by the existing answer. Genuinely WITHOUT a stated year: Saudi Arabia (only references an external Net-Zero Producers Forum), Indonesia (aspirational, no year), Mexico, and Argentina. So only 4 of 14 not "over half" actually lack a net-zero year.
Source: NDC2_2022_India.pdf (p.4); NDC2_2022_Russia.pdf (pp.9,31-32); plus NDC2_2022_UK.pdf, NDC2_2020_EU.pdf, NDC2_2021_Canada.pdf, NDC2_2021_Japan.pdf, NDC2_2021_South_Korea.pdf, NDC2_2022_Australia.pdf, NDC2_2022_Brazil.pdf, NDC2_2021_China.pdf, NDC2_2021_Saudi_Arabia.pdf, NDC2_2022_Indonesia.pdf</x:t>
  </x:si>
  <x:si>
    <x:t xml:space="preserve">the "with net-zero" list and China's 2060 figure are correct, but India (net-zero 2070) and Russia (carbon neutrality 2060) were wrongly placed in the "no year" group, both of which explicitly state target years in their NDC2 text. This means the "over half lack net-zero commitments" conclusion is overstated only 4 of 14 actually do.</x:t>
  </x:si>
  <x:si>
    <x:t xml:space="preserve">G023</x:t>
  </x:si>
  <x:si>
    <x:t xml:space="preserve">What is the gap between G20 NDC2 food system commitments and IPCC AR6 recommendations for sustainable food systems?</x:t>
  </x:si>
  <x:si>
    <x:t xml:space="preserve">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x:t>
  </x:si>
  <x:si>
    <x:t xml:space="preserve">IPCC WG3 confirms food systems contribute 23–42% of global GHG emissions (accurate). But the claim that food waste/dietary measures are absent from G20 NDC2s is wrong: China's NDC2 cites a nationwide "empty-plate" food waste reduction campaign (p.38), and Turkey's NDC2 explicitly addresses "reducing food loss and waste" alongside its below-average meat/dairy consumption (p.14). Brazil and India's agriculture focus on productivity/adaptation, not dietary transition, is correctly characterized.
Source: WG3_TechnicalSummary_2022.pdf (p.65); NDC2_2021_China.pdf (p.38); NDC2_2023_Turkey.pdf (p.14)</x:t>
  </x:si>
  <x:si>
    <x:t xml:space="preserve">the 23-42% IPCC figure and Brazil/India characterization are accurate, but the claim that "no G20 NDC2 includes food waste reduction" is factually wrong China and Turkey both explicitly address it, so food waste isn't "essentially absent" as stated.</x:t>
  </x:si>
  <x:si>
    <x:t xml:space="preserve">G025</x:t>
  </x:si>
  <x:si>
    <x:t xml:space="preserve">Summarise the three most critical gaps between the collective G20 NDC2 ambition and IPCC AR6 1.5 degree pathway requirements.</x:t>
  </x:si>
  <x:si>
    <x:t xml:space="preserve">SYR_FullVolume_2023</x:t>
  </x:si>
  <x:si>
    <x:t xml:space="preserve">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x:t>
  </x:si>
  <x:si>
    <x:t xml:space="preserve">Three document-supportable gaps: (1) Ambition/Timeline IPCC requires 43% below 2019 emissions by 2030 for 1.5°C, but G20 NDC2s use inconsistent baselines (2005, 2018, BAU), so collective ambition doesn't map cleanly to this; no document supports "~2.5°C warming" or "43% of needed mitigation achieved." (2) Sector Gap most NDC2s rely on economy-wide targets instead of IPCC's recommended sector-specific roadmaps for industry, transport, food systems. (3) Finance Gap developing-nation conditional targets (e.g., Indonesia 29%→41%, Mexico 35%→40%) depend on unmet international finance, while no developed G20 nation commits specific outward finance amounts in its NDC2.
Source: WG3_SPM_2022.pdf (pp.21,32-43); WG3_TechnicalSummary_2022.pdf (p.65); NDC2_2022_Indonesia.pdf (p.11); NDC2_2022_Mexico.pdf (p.9)</x:t>
  </x:si>
  <x:si>
    <x:t xml:space="preserve"> the three-gap structure and sector/finance details are accurate, but the "~2.5°C warming" and "43% of mitigation achieved" figures appear nowhere in the corpus they wrongly conflate IPCC's required reduction target with an unsupported claim about NDC2 achievement.</x:t>
  </x:si>
  <x:si>
    <x:t xml:space="preserve">Formulas automatically count agreement levels from the 'Annotator Review' sheet. Complete column I there first.</x:t>
  </x:si>
  <x:si>
    <x:t xml:space="preserve">Metric</x:t>
  </x:si>
  <x:si>
    <x:t xml:space="preserve">Count</x:t>
  </x:si>
  <x:si>
    <x:t xml:space="preserve">Percentage</x:t>
  </x:si>
  <x:si>
    <x:t xml:space="preserve">Interpretation</x:t>
  </x:si>
  <x:si>
    <x:t xml:space="preserve">Total Questions</x:t>
  </x:si>
  <x:si>
    <x:t xml:space="preserve">All 80 questions reviewed</x:t>
  </x:si>
  <x:si>
    <x:t xml:space="preserve">FULL Agreement</x:t>
  </x:si>
  <x:si>
    <x:t xml:space="preserve">PARTIAL Agreement</x:t>
  </x:si>
  <x:si>
    <x:t xml:space="preserve">NONE Agreement</x:t>
  </x:si>
  <x:si>
    <x:t xml:space="preserve">Not Yet Completed</x:t>
  </x:si>
  <x:si>
    <x:t xml:space="preserve">Fill in all 80 before finalising</x:t>
  </x:si>
  <x:si>
    <x:t xml:space="preserve">FULL + PARTIAL (agreement rate)</x:t>
  </x:si>
  <x:si>
    <x:t xml:space="preserve">FACTUAL questions reviewed</x:t>
  </x:si>
  <x:si>
    <x:t xml:space="preserve">Should be 30 of 80</x:t>
  </x:si>
  <x:si>
    <x:t xml:space="preserve">COMPARATIVE questions reviewed</x:t>
  </x:si>
  <x:si>
    <x:t xml:space="preserve">Should be 25 of 80</x:t>
  </x:si>
  <x:si>
    <x:t xml:space="preserve">GAP DETECTION questions reviewed</x:t>
  </x:si>
  <x:si>
    <x:t xml:space="preserve">Adjudication Log — Mandatory-Review Items (None outcomes) and Flagged Partial Items</x:t>
  </x:si>
  <x:si>
    <x:t xml:space="preserve">Populate one row per item requiring adjudication. The nine None-outcome items are pre-listed below; add flagged Partial items as identified.</x:t>
  </x:si>
  <x:si>
    <x:t xml:space="preserve">Question ID</x:t>
  </x:si>
  <x:si>
    <x:t xml:space="preserve">Second-annotator outcome</x:t>
  </x:si>
  <x:si>
    <x:t xml:space="preserve">Second-annotator note</x:t>
  </x:si>
  <x:si>
    <x:t xml:space="preserve">Source document</x:t>
  </x:si>
  <x:si>
    <x:t xml:space="preserve">Source page</x:t>
  </x:si>
  <x:si>
    <x:t xml:space="preserve">Primary-author decision</x:t>
  </x:si>
  <x:si>
    <x:t xml:space="preserve">Final disposition (Retain/Clarify/Revise/Remove)</x:t>
  </x:si>
  <x:si>
    <x:t xml:space="preserve">Revised reference answer</x:t>
  </x:si>
  <x:si>
    <x:t xml:space="preserve">Second-annotator confirmation</x:t>
  </x:si>
  <x:si>
    <x:t xml:space="preserve">Final adjudicated answer</x:t>
  </x:si>
  <x:si>
    <x:t xml:space="preserve">Date resolved</x:t>
  </x:si>
</x:sst>
</file>

<file path=xl/styles.xml><?xml version="1.0" encoding="utf-8"?>
<x:styleSheet xmlns:x="http://schemas.openxmlformats.org/spreadsheetml/2006/main">
  <x:numFmts count="2">
    <x:numFmt numFmtId="164" formatCode="General"/>
    <x:numFmt numFmtId="165" formatCode="General"/>
  </x:numFmts>
  <x:fonts count="15">
    <x:font>
      <x:sz val="11"/>
      <x:color theme="1"/>
      <x:name val="Calibri"/>
    </x:font>
    <x:font>
      <x:sz val="10"/>
      <x:name val="Arial"/>
    </x:font>
    <x:font>
      <x:sz val="10"/>
      <x:name val="Arial"/>
    </x:font>
    <x:font>
      <x:sz val="10"/>
      <x:name val="Arial"/>
    </x:font>
    <x:font>
      <x:b/>
      <x:sz val="13"/>
      <x:color rgb="FFFFFFFF"/>
      <x:name val="Arial"/>
    </x:font>
    <x:font>
      <x:sz val="10"/>
      <x:name val="Arial"/>
    </x:font>
    <x:font>
      <x:b/>
      <x:sz val="10"/>
      <x:color rgb="FFFFFFFF"/>
      <x:name val="Arial"/>
    </x:font>
    <x:font>
      <x:b/>
      <x:sz val="11"/>
      <x:name val="Cambria"/>
    </x:font>
    <x:font>
      <x:b/>
      <x:sz val="12"/>
      <x:color rgb="FFFFFFFF"/>
      <x:name val="Arial"/>
    </x:font>
    <x:font>
      <x:i/>
      <x:sz val="9"/>
      <x:name val="Arial"/>
    </x:font>
    <x:font>
      <x:b/>
      <x:sz val="9"/>
      <x:color rgb="FFFFFFFF"/>
      <x:name val="Arial"/>
    </x:font>
    <x:font>
      <x:b/>
      <x:sz val="10"/>
      <x:name val="Arial"/>
    </x:font>
    <x:font>
      <x:b/>
      <x:sz val="9"/>
      <x:name val="Arial"/>
    </x:font>
    <x:font>
      <x:sz val="9"/>
      <x:name val="Arial"/>
    </x:font>
    <x:font>
      <x:b/>
      <x:sz val="12"/>
      <x:name val="Cambria"/>
    </x:font>
  </x:fonts>
  <x:fills count="16">
    <x:fill>
      <x:patternFill patternType="none"/>
    </x:fill>
    <x:fill>
      <x:patternFill patternType="gray125"/>
    </x:fill>
    <x:fill>
      <x:patternFill patternType="solid">
        <x:fgColor rgb="FF0F4C35"/>
      </x:patternFill>
    </x:fill>
    <x:fill>
      <x:patternFill patternType="solid">
        <x:fgColor rgb="FFFFFFFF"/>
      </x:patternFill>
    </x:fill>
    <x:fill>
      <x:patternFill patternType="solid">
        <x:fgColor rgb="FF1A7A52"/>
      </x:patternFill>
    </x:fill>
    <x:fill>
      <x:patternFill patternType="solid">
        <x:fgColor rgb="FFFFFF99"/>
      </x:patternFill>
    </x:fill>
    <x:fill>
      <x:patternFill patternType="solid">
        <x:fgColor rgb="FFFFFBEB"/>
      </x:patternFill>
    </x:fill>
    <x:fill>
      <x:patternFill patternType="solid">
        <x:fgColor rgb="FF1E293B"/>
      </x:patternFill>
    </x:fill>
    <x:fill>
      <x:patternFill patternType="solid">
        <x:fgColor rgb="FFDBEAFE"/>
      </x:patternFill>
    </x:fill>
    <x:fill>
      <x:patternFill patternType="solid">
        <x:fgColor rgb="FFFFF7ED"/>
      </x:patternFill>
    </x:fill>
    <x:fill>
      <x:patternFill patternType="solid">
        <x:fgColor rgb="FFF8FAFC"/>
      </x:patternFill>
    </x:fill>
    <x:fill>
      <x:patternFill patternType="solid">
        <x:fgColor rgb="FFFEF3C7"/>
      </x:patternFill>
    </x:fill>
    <x:fill>
      <x:patternFill patternType="solid">
        <x:fgColor rgb="FFFEE2E2"/>
      </x:patternFill>
    </x:fill>
    <x:fill>
      <x:patternFill patternType="solid">
        <x:fgColor rgb="FFF3F4F6"/>
      </x:patternFill>
    </x:fill>
    <x:fill>
      <x:patternFill patternType="solid">
        <x:fgColor rgb="FFD1FAE5"/>
      </x:patternFill>
    </x:fill>
    <x:fill>
      <x:patternFill patternType="solid">
        <x:fgColor rgb="FFD6E4F0"/>
      </x:patternFill>
    </x:fill>
  </x:fills>
  <x:borders count="3">
    <x:border diagonalUp="0" diagonalDown="0"/>
    <x:border diagonalUp="0" diagonalDown="0">
      <x:left style="thin">
        <x:color rgb="FFCBD5E1"/>
      </x:left>
      <x:right style="thin">
        <x:color rgb="FFCBD5E1"/>
      </x:right>
      <x:top style="thin">
        <x:color rgb="FFCBD5E1"/>
      </x:top>
      <x:bottom style="thin">
        <x:color rgb="FFCBD5E1"/>
      </x:bottom>
    </x:border>
    <x:border diagonalUp="0" diagonalDown="0">
      <x:left style="thin">
        <x:color rgb="FFD1D5DB"/>
      </x:left>
      <x:right style="thin">
        <x:color rgb="FFD1D5DB"/>
      </x:right>
      <x:top style="thin">
        <x:color rgb="FFD1D5DB"/>
      </x:top>
      <x:bottom style="thin">
        <x:color rgb="FFD1D5DB"/>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81">
    <x:xf numFmtId="164" fontId="0" fillId="0" borderId="0" xfId="0" applyFont="0" applyBorder="0" applyAlignment="0">
      <x:alignment horizontal="general" vertical="bottom" wrapText="0"/>
    </x:xf>
    <x:xf numFmtId="164" fontId="0" fillId="0" borderId="0" xfId="0" applyFont="0" applyBorder="1" applyAlignment="0">
      <x:alignment horizontal="general" vertical="bottom" wrapText="0"/>
    </x:xf>
    <x:xf numFmtId="164" fontId="4" fillId="2" borderId="0" xfId="0" applyFont="1" applyBorder="1" applyAlignment="1">
      <x:alignment horizontal="general" vertical="center" wrapText="0"/>
    </x:xf>
    <x:xf numFmtId="164" fontId="5" fillId="3" borderId="0" xfId="0" applyFont="1" applyBorder="1" applyAlignment="1">
      <x:alignment horizontal="general" vertical="top" wrapText="1"/>
    </x:xf>
    <x:xf numFmtId="164" fontId="6" fillId="4" borderId="0" xfId="0" applyFont="1" applyBorder="1" applyAlignment="1">
      <x:alignment horizontal="general" vertical="center" wrapText="0"/>
    </x:xf>
    <x:xf numFmtId="164" fontId="7" fillId="0" borderId="0" xfId="0" applyFont="1" applyBorder="1" applyAlignment="0">
      <x:alignment horizontal="general" vertical="bottom" wrapText="0"/>
    </x:xf>
    <x:xf numFmtId="164" fontId="0" fillId="5" borderId="0" xfId="0" applyFont="1" applyBorder="1" applyAlignment="0">
      <x:alignment horizontal="general" vertical="bottom" wrapText="0"/>
    </x:xf>
    <x:xf numFmtId="164" fontId="8" fillId="2" borderId="0" xfId="0" applyFont="1" applyBorder="1" applyAlignment="1">
      <x:alignment horizontal="center" vertical="center" wrapText="1"/>
    </x:xf>
    <x:xf numFmtId="164" fontId="9" fillId="6" borderId="0" xfId="0" applyFont="1" applyBorder="1" applyAlignment="1">
      <x:alignment horizontal="general" vertical="center" wrapText="1"/>
    </x:xf>
    <x:xf numFmtId="164" fontId="10" fillId="7" borderId="1" xfId="0" applyFont="1" applyBorder="1" applyAlignment="1">
      <x:alignment horizontal="center" vertical="center" wrapText="1"/>
    </x:xf>
    <x:xf numFmtId="164" fontId="11" fillId="8" borderId="2" xfId="0" applyFont="1" applyBorder="1" applyAlignment="1">
      <x:alignment horizontal="center" vertical="top" wrapText="1"/>
    </x:xf>
    <x:xf numFmtId="164" fontId="5" fillId="8" borderId="2" xfId="0" applyFont="1" applyBorder="1" applyAlignment="1">
      <x:alignment horizontal="center" vertical="top" wrapText="1"/>
    </x:xf>
    <x:xf numFmtId="164" fontId="5" fillId="8" borderId="2" xfId="0" applyFont="1" applyBorder="1" applyAlignment="1">
      <x:alignment horizontal="left" vertical="top" wrapText="1"/>
    </x:xf>
    <x:xf numFmtId="164" fontId="5" fillId="9" borderId="2" xfId="0" applyFont="1" applyBorder="1" applyAlignment="1">
      <x:alignment horizontal="left" vertical="top" wrapText="1"/>
    </x:xf>
    <x:xf numFmtId="164" fontId="5" fillId="6" borderId="2" xfId="0" applyFont="1" applyBorder="1" applyAlignment="1">
      <x:alignment horizontal="center" vertical="top" wrapText="1"/>
    </x:xf>
    <x:xf numFmtId="164" fontId="5" fillId="6" borderId="2" xfId="0" applyFont="1" applyBorder="1" applyAlignment="1">
      <x:alignment horizontal="left" vertical="top" wrapText="1"/>
    </x:xf>
    <x:xf numFmtId="164" fontId="9" fillId="10" borderId="0" xfId="0" applyFont="1" applyBorder="1" applyAlignment="1">
      <x:alignment horizontal="general" vertical="center" wrapText="1"/>
    </x:xf>
    <x:xf numFmtId="164" fontId="6" fillId="7" borderId="1" xfId="0" applyFont="1" applyBorder="1" applyAlignment="1">
      <x:alignment horizontal="center" vertical="center" wrapText="1"/>
    </x:xf>
    <x:xf numFmtId="164" fontId="12" fillId="10" borderId="1" xfId="0" applyFont="1" applyBorder="1" applyAlignment="1">
      <x:alignment horizontal="left" vertical="center" wrapText="1"/>
    </x:xf>
    <x:xf numFmtId="165" fontId="13" fillId="10" borderId="1" xfId="0" applyFont="1" applyBorder="1" applyAlignment="1">
      <x:alignment horizontal="center" vertical="center" wrapText="1"/>
    </x:xf>
    <x:xf numFmtId="164" fontId="13" fillId="10" borderId="1" xfId="0" applyFont="1" applyBorder="1" applyAlignment="1">
      <x:alignment horizontal="left" vertical="center" wrapText="1"/>
    </x:xf>
    <x:xf numFmtId="164" fontId="12" fillId="8" borderId="1" xfId="0" applyFont="1" applyBorder="1" applyAlignment="1">
      <x:alignment horizontal="left" vertical="center" wrapText="1"/>
    </x:xf>
    <x:xf numFmtId="165" fontId="13" fillId="8" borderId="1" xfId="0" applyFont="1" applyBorder="1" applyAlignment="1">
      <x:alignment horizontal="center" vertical="center" wrapText="1"/>
    </x:xf>
    <x:xf numFmtId="164" fontId="13" fillId="8" borderId="1" xfId="0" applyFont="1" applyBorder="1" applyAlignment="1">
      <x:alignment horizontal="left" vertical="center" wrapText="1"/>
    </x:xf>
    <x:xf numFmtId="164" fontId="12" fillId="11" borderId="1" xfId="0" applyFont="1" applyBorder="1" applyAlignment="1">
      <x:alignment horizontal="left" vertical="center" wrapText="1"/>
    </x:xf>
    <x:xf numFmtId="165" fontId="13" fillId="11" borderId="1" xfId="0" applyFont="1" applyBorder="1" applyAlignment="1">
      <x:alignment horizontal="center" vertical="center" wrapText="1"/>
    </x:xf>
    <x:xf numFmtId="164" fontId="13" fillId="11" borderId="1" xfId="0" applyFont="1" applyBorder="1" applyAlignment="1">
      <x:alignment horizontal="left" vertical="center" wrapText="1"/>
    </x:xf>
    <x:xf numFmtId="164" fontId="12" fillId="12" borderId="1" xfId="0" applyFont="1" applyBorder="1" applyAlignment="1">
      <x:alignment horizontal="left" vertical="center" wrapText="1"/>
    </x:xf>
    <x:xf numFmtId="165" fontId="13" fillId="12" borderId="1" xfId="0" applyFont="1" applyBorder="1" applyAlignment="1">
      <x:alignment horizontal="center" vertical="center" wrapText="1"/>
    </x:xf>
    <x:xf numFmtId="164" fontId="13" fillId="12" borderId="1" xfId="0" applyFont="1" applyBorder="1" applyAlignment="1">
      <x:alignment horizontal="left" vertical="center" wrapText="1"/>
    </x:xf>
    <x:xf numFmtId="164" fontId="12" fillId="13" borderId="1" xfId="0" applyFont="1" applyBorder="1" applyAlignment="1">
      <x:alignment horizontal="left" vertical="center" wrapText="1"/>
    </x:xf>
    <x:xf numFmtId="165" fontId="13" fillId="13" borderId="1" xfId="0" applyFont="1" applyBorder="1" applyAlignment="1">
      <x:alignment horizontal="center" vertical="center" wrapText="1"/>
    </x:xf>
    <x:xf numFmtId="164" fontId="13" fillId="13" borderId="1" xfId="0" applyFont="1" applyBorder="1" applyAlignment="1">
      <x:alignment horizontal="left" vertical="center" wrapText="1"/>
    </x:xf>
    <x:xf numFmtId="164" fontId="13" fillId="3" borderId="0" xfId="0" applyFont="1" applyBorder="1" applyAlignment="1">
      <x:alignment horizontal="left" vertical="center" wrapText="1"/>
    </x:xf>
    <x:xf numFmtId="165" fontId="13" fillId="3" borderId="0" xfId="0" applyFont="1" applyBorder="1" applyAlignment="1">
      <x:alignment horizontal="center" vertical="center" wrapText="1"/>
    </x:xf>
    <x:xf numFmtId="164" fontId="13" fillId="3" borderId="0" xfId="0" applyFont="1" applyBorder="1" applyAlignment="1">
      <x:alignment horizontal="left" vertical="center" wrapText="1"/>
    </x:xf>
    <x:xf numFmtId="164" fontId="12" fillId="14" borderId="1" xfId="0" applyFont="1" applyBorder="1" applyAlignment="1">
      <x:alignment horizontal="left" vertical="center" wrapText="1"/>
    </x:xf>
    <x:xf numFmtId="165" fontId="13" fillId="14" borderId="1" xfId="0" applyFont="1" applyBorder="1" applyAlignment="1">
      <x:alignment horizontal="center" vertical="center" wrapText="1"/>
    </x:xf>
    <x:xf numFmtId="164" fontId="13" fillId="14" borderId="1" xfId="0" applyFont="1" applyBorder="1" applyAlignment="1">
      <x:alignment horizontal="left" vertical="center" wrapText="1"/>
    </x:xf>
    <x:xf numFmtId="164" fontId="14" fillId="0" borderId="0" xfId="0" applyFont="1" applyBorder="1" applyAlignment="0">
      <x:alignment horizontal="general" vertical="bottom" wrapText="0"/>
    </x:xf>
    <x:xf numFmtId="164" fontId="7" fillId="15" borderId="0" xfId="0" applyFont="1" applyBorder="1" applyAlignment="0">
      <x:alignment horizontal="general" vertical="bottom" wrapText="0"/>
    </x:xf>
    <x:xf numFmtId="164" fontId="0" fillId="0" borderId="0" xfId="0" applyNumberFormat="1" applyFont="1" applyFill="1" applyBorder="1" applyAlignment="1">
      <x:alignment horizontal="general" vertical="bottom" wrapText="0"/>
    </x:xf>
    <x:xf numFmtId="164" fontId="4" fillId="2" borderId="0" xfId="0" applyNumberFormat="1" applyFont="1" applyFill="1" applyBorder="1" applyAlignment="1">
      <x:alignment horizontal="general" vertical="center" wrapText="0"/>
    </x:xf>
    <x:xf numFmtId="164" fontId="1" fillId="3" borderId="0" xfId="0" applyNumberFormat="1" applyFont="1" applyFill="1" applyBorder="1" applyAlignment="1">
      <x:alignment horizontal="general" vertical="top" wrapText="1"/>
    </x:xf>
    <x:xf numFmtId="164" fontId="6" fillId="4" borderId="0" xfId="0" applyNumberFormat="1" applyFont="1" applyFill="1" applyBorder="1" applyAlignment="1">
      <x:alignment horizontal="general" vertical="center" wrapText="0"/>
    </x:xf>
    <x:xf numFmtId="164" fontId="7" fillId="0" borderId="0" xfId="0" applyNumberFormat="1" applyFont="1" applyFill="1" applyBorder="1" applyAlignment="1">
      <x:alignment horizontal="general" vertical="bottom" wrapText="0"/>
    </x:xf>
    <x:xf numFmtId="164" fontId="0" fillId="5" borderId="0" xfId="0" applyNumberFormat="1" applyFont="1" applyFill="1" applyBorder="1" applyAlignment="1">
      <x:alignment horizontal="general" vertical="bottom" wrapText="0"/>
    </x:xf>
    <x:xf numFmtId="164" fontId="8" fillId="2" borderId="0" xfId="0" applyNumberFormat="1" applyFont="1" applyFill="1" applyBorder="1" applyAlignment="1">
      <x:alignment horizontal="center" vertical="center" wrapText="1"/>
    </x:xf>
    <x:xf numFmtId="164" fontId="9" fillId="6" borderId="0" xfId="0" applyNumberFormat="1" applyFont="1" applyFill="1" applyBorder="1" applyAlignment="1">
      <x:alignment horizontal="general" vertical="center" wrapText="1"/>
    </x:xf>
    <x:xf numFmtId="164" fontId="10" fillId="7" borderId="1" xfId="0" applyNumberFormat="1" applyFont="1" applyFill="1" applyBorder="1" applyAlignment="1">
      <x:alignment horizontal="center" vertical="center" wrapText="1"/>
    </x:xf>
    <x:xf numFmtId="164" fontId="11" fillId="8" borderId="2" xfId="0" applyNumberFormat="1" applyFont="1" applyFill="1" applyBorder="1" applyAlignment="1">
      <x:alignment horizontal="center" vertical="top" wrapText="1"/>
    </x:xf>
    <x:xf numFmtId="164" fontId="1" fillId="8" borderId="2" xfId="0" applyNumberFormat="1" applyFont="1" applyFill="1" applyBorder="1" applyAlignment="1">
      <x:alignment horizontal="center" vertical="top" wrapText="1"/>
    </x:xf>
    <x:xf numFmtId="164" fontId="1" fillId="8" borderId="2" xfId="0" applyNumberFormat="1" applyFont="1" applyFill="1" applyBorder="1" applyAlignment="1">
      <x:alignment horizontal="left" vertical="top" wrapText="1"/>
    </x:xf>
    <x:xf numFmtId="164" fontId="1" fillId="9" borderId="2" xfId="0" applyNumberFormat="1" applyFont="1" applyFill="1" applyBorder="1" applyAlignment="1">
      <x:alignment horizontal="left" vertical="top" wrapText="1"/>
    </x:xf>
    <x:xf numFmtId="164" fontId="1" fillId="6" borderId="2" xfId="0" applyNumberFormat="1" applyFont="1" applyFill="1" applyBorder="1" applyAlignment="1">
      <x:alignment horizontal="center" vertical="top" wrapText="1"/>
    </x:xf>
    <x:xf numFmtId="164" fontId="1" fillId="6" borderId="2" xfId="0" applyNumberFormat="1" applyFont="1" applyFill="1" applyBorder="1" applyAlignment="1">
      <x:alignment horizontal="left" vertical="top" wrapText="1"/>
    </x:xf>
    <x:xf numFmtId="164" fontId="9" fillId="10" borderId="0" xfId="0" applyNumberFormat="1" applyFont="1" applyFill="1" applyBorder="1" applyAlignment="1">
      <x:alignment horizontal="general" vertical="center" wrapText="1"/>
    </x:xf>
    <x:xf numFmtId="164" fontId="6" fillId="7" borderId="1" xfId="0" applyNumberFormat="1" applyFont="1" applyFill="1" applyBorder="1" applyAlignment="1">
      <x:alignment horizontal="center" vertical="center" wrapText="1"/>
    </x:xf>
    <x:xf numFmtId="164" fontId="12" fillId="10" borderId="1" xfId="0" applyNumberFormat="1" applyFont="1" applyFill="1" applyBorder="1" applyAlignment="1">
      <x:alignment horizontal="left" vertical="center" wrapText="1"/>
    </x:xf>
    <x:xf numFmtId="164" fontId="13" fillId="10" borderId="1" xfId="0" applyNumberFormat="1" applyFont="1" applyFill="1" applyBorder="1" applyAlignment="1">
      <x:alignment horizontal="center" vertical="center" wrapText="1"/>
    </x:xf>
    <x:xf numFmtId="164" fontId="13" fillId="10" borderId="1" xfId="0" applyNumberFormat="1" applyFont="1" applyFill="1" applyBorder="1" applyAlignment="1">
      <x:alignment horizontal="left" vertical="center" wrapText="1"/>
    </x:xf>
    <x:xf numFmtId="164" fontId="12" fillId="8" borderId="1" xfId="0" applyNumberFormat="1" applyFont="1" applyFill="1" applyBorder="1" applyAlignment="1">
      <x:alignment horizontal="left" vertical="center" wrapText="1"/>
    </x:xf>
    <x:xf numFmtId="164" fontId="13" fillId="8" borderId="1" xfId="0" applyNumberFormat="1" applyFont="1" applyFill="1" applyBorder="1" applyAlignment="1">
      <x:alignment horizontal="center" vertical="center" wrapText="1"/>
    </x:xf>
    <x:xf numFmtId="164" fontId="13" fillId="8" borderId="1" xfId="0" applyNumberFormat="1" applyFont="1" applyFill="1" applyBorder="1" applyAlignment="1">
      <x:alignment horizontal="left" vertical="center" wrapText="1"/>
    </x:xf>
    <x:xf numFmtId="164" fontId="12" fillId="11" borderId="1" xfId="0" applyNumberFormat="1" applyFont="1" applyFill="1" applyBorder="1" applyAlignment="1">
      <x:alignment horizontal="left" vertical="center" wrapText="1"/>
    </x:xf>
    <x:xf numFmtId="164" fontId="13" fillId="11" borderId="1" xfId="0" applyNumberFormat="1" applyFont="1" applyFill="1" applyBorder="1" applyAlignment="1">
      <x:alignment horizontal="center" vertical="center" wrapText="1"/>
    </x:xf>
    <x:xf numFmtId="164" fontId="13" fillId="11" borderId="1" xfId="0" applyNumberFormat="1" applyFont="1" applyFill="1" applyBorder="1" applyAlignment="1">
      <x:alignment horizontal="left" vertical="center" wrapText="1"/>
    </x:xf>
    <x:xf numFmtId="164" fontId="12" fillId="12" borderId="1" xfId="0" applyNumberFormat="1" applyFont="1" applyFill="1" applyBorder="1" applyAlignment="1">
      <x:alignment horizontal="left" vertical="center" wrapText="1"/>
    </x:xf>
    <x:xf numFmtId="164" fontId="13" fillId="12" borderId="1" xfId="0" applyNumberFormat="1" applyFont="1" applyFill="1" applyBorder="1" applyAlignment="1">
      <x:alignment horizontal="center" vertical="center" wrapText="1"/>
    </x:xf>
    <x:xf numFmtId="164" fontId="13" fillId="12" borderId="1" xfId="0" applyNumberFormat="1" applyFont="1" applyFill="1" applyBorder="1" applyAlignment="1">
      <x:alignment horizontal="left" vertical="center" wrapText="1"/>
    </x:xf>
    <x:xf numFmtId="164" fontId="12" fillId="13" borderId="1" xfId="0" applyNumberFormat="1" applyFont="1" applyFill="1" applyBorder="1" applyAlignment="1">
      <x:alignment horizontal="left" vertical="center" wrapText="1"/>
    </x:xf>
    <x:xf numFmtId="164" fontId="13" fillId="13" borderId="1" xfId="0" applyNumberFormat="1" applyFont="1" applyFill="1" applyBorder="1" applyAlignment="1">
      <x:alignment horizontal="center" vertical="center" wrapText="1"/>
    </x:xf>
    <x:xf numFmtId="164" fontId="13" fillId="13" borderId="1" xfId="0" applyNumberFormat="1" applyFont="1" applyFill="1" applyBorder="1" applyAlignment="1">
      <x:alignment horizontal="left" vertical="center" wrapText="1"/>
    </x:xf>
    <x:xf numFmtId="164" fontId="13" fillId="3" borderId="0" xfId="0" applyNumberFormat="1" applyFont="1" applyFill="1" applyBorder="1" applyAlignment="1">
      <x:alignment horizontal="left" vertical="center" wrapText="1"/>
    </x:xf>
    <x:xf numFmtId="164" fontId="13" fillId="3" borderId="0" xfId="0" applyNumberFormat="1" applyFont="1" applyFill="1" applyBorder="1" applyAlignment="1">
      <x:alignment horizontal="center" vertical="center" wrapText="1"/>
    </x:xf>
    <x:xf numFmtId="164" fontId="12" fillId="14" borderId="1" xfId="0" applyNumberFormat="1" applyFont="1" applyFill="1" applyBorder="1" applyAlignment="1">
      <x:alignment horizontal="left" vertical="center" wrapText="1"/>
    </x:xf>
    <x:xf numFmtId="164" fontId="13" fillId="14" borderId="1" xfId="0" applyNumberFormat="1" applyFont="1" applyFill="1" applyBorder="1" applyAlignment="1">
      <x:alignment horizontal="center" vertical="center" wrapText="1"/>
    </x:xf>
    <x:xf numFmtId="164" fontId="13" fillId="14" borderId="1" xfId="0" applyNumberFormat="1" applyFont="1" applyFill="1" applyBorder="1" applyAlignment="1">
      <x:alignment horizontal="left" vertical="center" wrapText="1"/>
    </x:xf>
    <x:xf numFmtId="164" fontId="14" fillId="0" borderId="0" xfId="0" applyNumberFormat="1" applyFont="1" applyFill="1" applyBorder="1" applyAlignment="1">
      <x:alignment horizontal="general" vertical="bottom" wrapText="0"/>
    </x:xf>
    <x:xf numFmtId="164" fontId="7" fillId="15" borderId="0" xfId="0" applyNumberFormat="1" applyFont="1" applyFill="1" applyBorder="1" applyAlignment="1">
      <x:alignment horizontal="general" vertical="bottom" wrapText="0"/>
    </x:xf>
    <x:xf numFmtId="164" fontId="0" fillId="5"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BEB"/>
      <x:rgbColor rgb="FFFF00FF"/>
      <x:rgbColor rgb="FF00FFFF"/>
      <x:rgbColor rgb="FF800000"/>
      <x:rgbColor rgb="FF008000"/>
      <x:rgbColor rgb="FF000080"/>
      <x:rgbColor rgb="FF808000"/>
      <x:rgbColor rgb="FF800080"/>
      <x:rgbColor rgb="FF1A7A52"/>
      <x:rgbColor rgb="FFD1D5DB"/>
      <x:rgbColor rgb="FF808080"/>
      <x:rgbColor rgb="FF9999FF"/>
      <x:rgbColor rgb="FF993366"/>
      <x:rgbColor rgb="FFFEF3C7"/>
      <x:rgbColor rgb="FFDBEAFE"/>
      <x:rgbColor rgb="FF660066"/>
      <x:rgbColor rgb="FFFF8080"/>
      <x:rgbColor rgb="FF0066CC"/>
      <x:rgbColor rgb="FFCBD5E1"/>
      <x:rgbColor rgb="FF000080"/>
      <x:rgbColor rgb="FFFF00FF"/>
      <x:rgbColor rgb="FFFFFF00"/>
      <x:rgbColor rgb="FF00FFFF"/>
      <x:rgbColor rgb="FF800080"/>
      <x:rgbColor rgb="FF800000"/>
      <x:rgbColor rgb="FF008080"/>
      <x:rgbColor rgb="FF0000FF"/>
      <x:rgbColor rgb="FF00CCFF"/>
      <x:rgbColor rgb="FFD6E4F0"/>
      <x:rgbColor rgb="FFD1FAE5"/>
      <x:rgbColor rgb="FFFFFF99"/>
      <x:rgbColor rgb="FFF3F4F6"/>
      <x:rgbColor rgb="FFFFF7ED"/>
      <x:rgbColor rgb="FFF8FAFC"/>
      <x:rgbColor rgb="FFFEE2E2"/>
      <x:rgbColor rgb="FF3366FF"/>
      <x:rgbColor rgb="FF33CCCC"/>
      <x:rgbColor rgb="FF99CC00"/>
      <x:rgbColor rgb="FFFFCC00"/>
      <x:rgbColor rgb="FFFF9900"/>
      <x:rgbColor rgb="FFFF6600"/>
      <x:rgbColor rgb="FF666699"/>
      <x:rgbColor rgb="FF969696"/>
      <x:rgbColor rgb="FF0F4C35"/>
      <x:rgbColor rgb="FF339966"/>
      <x:rgbColor rgb="FF003300"/>
      <x:rgbColor rgb="FF333300"/>
      <x:rgbColor rgb="FF993300"/>
      <x:rgbColor rgb="FF993366"/>
      <x:rgbColor rgb="FF333399"/>
      <x:rgbColor rgb="FF1E293B"/>
    </x:indexedColors>
  </x:colors>
</x:styleSheet>
</file>

<file path=xl/_rels/workbook.xml.rels>&#65279;<?xml version="1.0" encoding="utf-8"?><Relationships xmlns="http://schemas.openxmlformats.org/package/2006/relationships"><Relationship Type="http://schemas.openxmlformats.org/officeDocument/2006/relationships/styles" Target="/xl/styles.xml" Id="R3fde88f3fc0343eb" /><Relationship Type="http://schemas.openxmlformats.org/officeDocument/2006/relationships/theme" Target="/xl/theme/theme1.xml" Id="Ra2b82eeffb894d3d" /><Relationship Type="http://schemas.openxmlformats.org/officeDocument/2006/relationships/sharedStrings" Target="/xl/sharedStrings.xml" Id="R569528efbad6475d" /><Relationship Type="http://schemas.openxmlformats.org/officeDocument/2006/relationships/worksheet" Target="/xl/worksheets/sheet1.xml" Id="R52d041fc55464f15" /><Relationship Type="http://schemas.openxmlformats.org/officeDocument/2006/relationships/worksheet" Target="/xl/worksheets/sheet2.xml" Id="R8f739891df44451a" /><Relationship Type="http://schemas.openxmlformats.org/officeDocument/2006/relationships/worksheet" Target="/xl/worksheets/sheet3.xml" Id="Rc1f8e886856247f6" /><Relationship Type="http://schemas.openxmlformats.org/officeDocument/2006/relationships/worksheet" Target="/xl/worksheets/sheet4.xml" Id="Rf7bc8c30af6e4d2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77734375" defaultRowHeight="14.25"/>
  <x:cols>
    <x:col min="1" max="1" width="4" style="1" hidden="0" customWidth="1"/>
    <x:col min="2" max="2" width="90" style="1" hidden="0" customWidth="1"/>
    <x:col min="3" max="3" width="42" hidden="0" customWidth="1"/>
  </x:cols>
  <x:sheetData>
    <x:row r="1" ht="27.75" hidden="0" customHeight="1">
      <x:c r="B1" s="2" t="str">
        <x:v>INDEPENDENT SINGLE-REVIEWER AUDIT — Climate Policy RAG Evaluation Dataset</x:v>
      </x:c>
    </x:row>
    <x:row r="2" ht="18" hidden="0" customHeight="1">
      <x:c r="B2" s="3"/>
    </x:row>
    <x:row r="3" ht="19.5" hidden="0" customHeight="1">
      <x:c r="B3" s="4" t="s">
        <x:v>0</x:v>
      </x:c>
    </x:row>
    <x:row r="4" ht="42" hidden="0" customHeight="1">
      <x:c r="B4" s="3" t="str">
        <x:v>This workbook contains the independent review of all 80 questions in the author-prepared evaluation dataset used to benchmark the climate-policy RAG system. The reviewer answers and Full/Partial/None outcomes are reported descriptively; this workbook does not constitute a two-annotator reliability study or an adjudicated gold standard.</x:v>
      </x:c>
    </x:row>
    <x:row r="5" ht="18" hidden="0" customHeight="1">
      <x:c r="B5" s="3"/>
    </x:row>
    <x:row r="6" ht="19.5" hidden="0" customHeight="1">
      <x:c r="B6" s="4" t="s">
        <x:v>1</x:v>
      </x:c>
    </x:row>
    <x:row r="7" ht="18" hidden="0" customHeight="1">
      <x:c r="B7" s="3" t="s">
        <x:v>2</x:v>
      </x:c>
    </x:row>
    <x:row r="8" ht="18" hidden="0" customHeight="1">
      <x:c r="B8" s="3" t="s">
        <x:v>3</x:v>
      </x:c>
    </x:row>
    <x:row r="9" ht="18" hidden="0" customHeight="1">
      <x:c r="B9" s="3" t="s">
        <x:v>4</x:v>
      </x:c>
    </x:row>
    <x:row r="10" ht="18" hidden="0" customHeight="1">
      <x:c r="B10" s="3" t="s">
        <x:v>5</x:v>
      </x:c>
    </x:row>
    <x:row r="11" ht="18" hidden="0" customHeight="1">
      <x:c r="B11" s="3" t="str">
        <x:v>     → Do NOT look at the 'Author-Prepared Reference Answer' column while writing your answer.</x:v>
      </x:c>
    </x:row>
    <x:row r="12" ht="18" hidden="0" customHeight="1">
      <x:c r="B12" s="3" t="s">
        <x:v>6</x:v>
      </x:c>
    </x:row>
    <x:row r="13" ht="18" hidden="0" customHeight="1">
      <x:c r="B13" s="3" t="str">
        <x:v>  4. After writing your answer, read the Author-Prepared Reference Answer and mark 'Agreement Level' as:</x:v>
      </x:c>
    </x:row>
    <x:row r="14" ht="18" hidden="0" customHeight="1">
      <x:c r="B14" s="3" t="str">
        <x:v>     → FULL  — your answer and the author-prepared answer agree on all material facts</x:v>
      </x:c>
    </x:row>
    <x:row r="15" ht="18" hidden="0" customHeight="1">
      <x:c r="B15" s="3" t="str">
        <x:v>     → PARTIAL — your answer agrees on the central answer but one or more details differ or are missing</x:v>
      </x:c>
    </x:row>
    <x:row r="16" ht="18" hidden="0" customHeight="1">
      <x:c r="B16" s="3" t="str">
        <x:v>     → NONE  — your answer materially differs from or contradicts the author-prepared answer</x:v>
      </x:c>
    </x:row>
    <x:row r="17" ht="18" hidden="0" customHeight="1">
      <x:c r="B17" s="3" t="s">
        <x:v>7</x:v>
      </x:c>
    </x:row>
    <x:row r="18" ht="18" hidden="0" customHeight="1">
      <x:c r="B18" s="3"/>
    </x:row>
    <x:row r="19" ht="19.5" hidden="0" customHeight="1">
      <x:c r="B19" s="4" t="s">
        <x:v>8</x:v>
      </x:c>
    </x:row>
    <x:row r="20" ht="18" hidden="0" customHeight="1">
      <x:c r="B20" s="3" t="s">
        <x:v>9</x:v>
      </x:c>
    </x:row>
    <x:row r="21" ht="18" hidden="0" customHeight="1">
      <x:c r="B21" s="3" t="s">
        <x:v>10</x:v>
      </x:c>
    </x:row>
    <x:row r="22" ht="18" hidden="0" customHeight="1">
      <x:c r="B22" s="3" t="s">
        <x:v>11</x:v>
      </x:c>
    </x:row>
    <x:row r="23" ht="18" hidden="0" customHeight="1">
      <x:c r="B23" s="3" t="s">
        <x:v>12</x:v>
      </x:c>
    </x:row>
    <x:row r="24" ht="18" hidden="0" customHeight="1">
      <x:c r="B24" s="3" t="s">
        <x:v>13</x:v>
      </x:c>
    </x:row>
    <x:row r="25" ht="18" hidden="0" customHeight="1">
      <x:c r="B25" s="3"/>
    </x:row>
    <x:row r="26" ht="19.5" hidden="0" customHeight="1">
      <x:c r="B26" s="4" t="s">
        <x:v>14</x:v>
      </x:c>
    </x:row>
    <x:row r="27" ht="14.25" hidden="0" customHeight="1">
      <x:c r="B27" s="43" t="s">
        <x:v>15</x:v>
      </x:c>
    </x:row>
    <x:row r="28" ht="14.25" hidden="0" customHeight="1">
      <x:c r="B28" s="43" t="s">
        <x:v>16</x:v>
      </x:c>
    </x:row>
    <x:row r="29" ht="24" hidden="0" customHeight="1">
      <x:c r="B29" s="43" t="s">
        <x:v>17</x:v>
      </x:c>
    </x:row>
    <x:row r="30" ht="18" hidden="0" customHeight="1">
      <x:c r="B30" s="3"/>
    </x:row>
    <x:row r="31" ht="19.5" hidden="0" customHeight="1">
      <x:c r="B31" s="4" t="s">
        <x:v>18</x:v>
      </x:c>
    </x:row>
    <x:row r="32" ht="18" hidden="0" customHeight="1">
      <x:c r="B32" s="3" t="s">
        <x:v>19</x:v>
      </x:c>
    </x:row>
    <x:row r="33" ht="18" hidden="0" customHeight="1">
      <x:c r="B33" s="3" t="s">
        <x:v>20</x:v>
      </x:c>
    </x:row>
    <x:row r="34" ht="18" hidden="0" customHeight="1">
      <x:c r="B34" s="3"/>
    </x:row>
    <x:row r="35" ht="14.25" hidden="0">
      <x:c r="B35" s="5" t="s">
        <x:v>21</x:v>
      </x:c>
    </x:row>
    <x:row r="36" ht="14.25" hidden="0" customHeight="1">
      <x:c r="B36" s="5" t="s">
        <x:v>22</x:v>
      </x:c>
      <x:c r="C36" s="80" t="str">
        <x:v>Reviewer 1 (anonymised for peer review)</x:v>
      </x:c>
    </x:row>
    <x:row r="37" ht="14.25" hidden="0" customHeight="1">
      <x:c r="B37" s="5" t="s">
        <x:v>23</x:v>
      </x:c>
      <x:c r="C37" s="80" t="str">
        <x:v>Independent reviewer (anonymised)</x:v>
      </x:c>
    </x:row>
    <x:row r="38" ht="14.25" hidden="0" customHeight="1">
      <x:c r="B38" s="5" t="s">
        <x:v>24</x:v>
      </x:c>
      <x:c r="C38" s="80" t="str">
        <x:v>Independent reviewer — content review</x:v>
      </x:c>
    </x:row>
    <x:row r="39" ht="14.25" hidden="0" customHeight="1">
      <x:c r="B39" s="5" t="s">
        <x:v>25</x:v>
      </x:c>
      <x:c r="C39" s="80" t="str">
        <x:v>2026-08-07</x:v>
      </x:c>
    </x:row>
    <x:row r="40" ht="14.25" hidden="0" customHeight="1">
      <x:c r="B40" s="5" t="s">
        <x:v>26</x:v>
      </x:c>
      <x:c r="C40" s="80" t="str">
        <x:v>Not disclosed in anonymised review package</x:v>
      </x:c>
    </x:row>
    <x:row r="41" ht="14.25" hidden="0" customHeight="1">
      <x:c r="B41" s="5" t="s">
        <x:v>27</x:v>
      </x:c>
      <x:c r="C41" s="80" t="str">
        <x:v>Anonymised copy prepared for peer review</x:v>
      </x:c>
    </x:row>
    <x:row r="42" ht="26.399999618530273" hidden="0" customHeight="1">
      <x:c r="B42" s="5" t="s">
        <x:v>28</x:v>
      </x:c>
      <x:c r="C42" s="80" t="str">
        <x:v>Yes — 80 of 80 rows completed in Annotator Review sheet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77734375" defaultRowHeight="14.25"/>
  <x:cols>
    <x:col min="1" max="1" width="6" style="1" hidden="0" customWidth="1"/>
    <x:col min="2" max="2" width="12" style="1" hidden="0" customWidth="1"/>
    <x:col min="3" max="3" width="14" style="1" hidden="0" customWidth="1"/>
    <x:col min="4" max="4" width="10" style="1" hidden="0" customWidth="1"/>
    <x:col min="5" max="5" width="45" style="1" hidden="0" customWidth="1"/>
    <x:col min="6" max="6" width="20" style="1" hidden="0" customWidth="1"/>
    <x:col min="7" max="8" width="50" style="1" hidden="0" customWidth="1"/>
    <x:col min="9" max="9" width="16" style="1" hidden="0" customWidth="1"/>
    <x:col min="10" max="10" width="35" style="1" hidden="0" customWidth="1"/>
  </x:cols>
  <x:sheetData>
    <x:row r="1" ht="25.5" hidden="0" customHeight="1">
      <x:c r="A1" s="7" t="str">
        <x:v>INDEPENDENT REVIEW — Full 80-Question Dataset (Climate Policy RAG)</x:v>
      </x:c>
      <x:c r="B1" s="7"/>
      <x:c r="C1" s="7"/>
      <x:c r="D1" s="7"/>
      <x:c r="E1" s="7"/>
      <x:c r="F1" s="7"/>
      <x:c r="G1" s="7"/>
      <x:c r="H1" s="7"/>
      <x:c r="I1" s="7"/>
      <x:c r="J1" s="7"/>
    </x:row>
    <x:row r="2" ht="27.75" hidden="0" customHeight="1">
      <x:c r="A2" s="8" t="s">
        <x:v>29</x:v>
      </x:c>
      <x:c r="B2" s="8"/>
      <x:c r="C2" s="8"/>
      <x:c r="D2" s="8"/>
      <x:c r="E2" s="8"/>
      <x:c r="F2" s="8"/>
      <x:c r="G2" s="8"/>
      <x:c r="H2" s="8"/>
      <x:c r="I2" s="8"/>
      <x:c r="J2" s="8"/>
    </x:row>
    <x:row r="3" ht="36" hidden="0" customHeight="1">
      <x:c r="A3" s="9" t="s">
        <x:v>30</x:v>
      </x:c>
      <x:c r="B3" s="9" t="s">
        <x:v>31</x:v>
      </x:c>
      <x:c r="C3" s="9" t="s">
        <x:v>32</x:v>
      </x:c>
      <x:c r="D3" s="9" t="s">
        <x:v>33</x:v>
      </x:c>
      <x:c r="E3" s="9" t="s">
        <x:v>34</x:v>
      </x:c>
      <x:c r="F3" s="9" t="s">
        <x:v>35</x:v>
      </x:c>
      <x:c r="G3" s="9" t="str">
        <x:v>Author-Prepared Reference Answer</x:v>
      </x:c>
      <x:c r="H3" s="9" t="s">
        <x:v>36</x:v>
      </x:c>
      <x:c r="I3" s="9" t="s">
        <x:v>37</x:v>
      </x:c>
      <x:c r="J3" s="9" t="s">
        <x:v>38</x:v>
      </x:c>
    </x:row>
    <x:row r="4" ht="90" hidden="0" customHeight="1">
      <x:c r="A4" s="10" t="n">
        <x:v>24</x:v>
      </x:c>
      <x:c r="B4" s="10" t="s">
        <x:v>39</x:v>
      </x:c>
      <x:c r="C4" s="11" t="s">
        <x:v>40</x:v>
      </x:c>
      <x:c r="D4" s="11" t="s">
        <x:v>41</x:v>
      </x:c>
      <x:c r="E4" s="12" t="s">
        <x:v>42</x:v>
      </x:c>
      <x:c r="F4" s="12" t="s">
        <x:v>43</x:v>
      </x:c>
      <x:c r="G4" s="12" t="s">
        <x:v>44</x:v>
      </x:c>
      <x:c r="H4" s="13" t="s">
        <x:v>45</x:v>
      </x:c>
      <x:c r="I4" s="14" t="s">
        <x:v>46</x:v>
      </x:c>
      <x:c r="J4" s="15"/>
    </x:row>
    <x:row r="5" ht="90" hidden="0" customHeight="1">
      <x:c r="A5" s="10" t="n">
        <x:v>64</x:v>
      </x:c>
      <x:c r="B5" s="10" t="s">
        <x:v>47</x:v>
      </x:c>
      <x:c r="C5" s="11" t="s">
        <x:v>48</x:v>
      </x:c>
      <x:c r="D5" s="11" t="s">
        <x:v>41</x:v>
      </x:c>
      <x:c r="E5" s="12" t="s">
        <x:v>49</x:v>
      </x:c>
      <x:c r="F5" s="12" t="s">
        <x:v>50</x:v>
      </x:c>
      <x:c r="G5" s="12" t="s">
        <x:v>51</x:v>
      </x:c>
      <x:c r="H5" s="13" t="s">
        <x:v>52</x:v>
      </x:c>
      <x:c r="I5" s="14" t="s">
        <x:v>53</x:v>
      </x:c>
      <x:c r="J5" s="15" t="s">
        <x:v>54</x:v>
      </x:c>
    </x:row>
    <x:row r="6" ht="90" hidden="0" customHeight="1">
      <x:c r="A6" s="10" t="n">
        <x:v>42</x:v>
      </x:c>
      <x:c r="B6" s="10" t="s">
        <x:v>55</x:v>
      </x:c>
      <x:c r="C6" s="11" t="s">
        <x:v>56</x:v>
      </x:c>
      <x:c r="D6" s="11" t="s">
        <x:v>57</x:v>
      </x:c>
      <x:c r="E6" s="12" t="s">
        <x:v>58</x:v>
      </x:c>
      <x:c r="F6" s="12" t="s">
        <x:v>59</x:v>
      </x:c>
      <x:c r="G6" s="12" t="s">
        <x:v>60</x:v>
      </x:c>
      <x:c r="H6" s="13" t="s">
        <x:v>61</x:v>
      </x:c>
      <x:c r="I6" s="14" t="s">
        <x:v>53</x:v>
      </x:c>
      <x:c r="J6" s="15" t="s">
        <x:v>62</x:v>
      </x:c>
    </x:row>
    <x:row r="7" ht="90" hidden="0" customHeight="1">
      <x:c r="A7" s="10" t="n">
        <x:v>56</x:v>
      </x:c>
      <x:c r="B7" s="10" t="s">
        <x:v>63</x:v>
      </x:c>
      <x:c r="C7" s="11" t="s">
        <x:v>48</x:v>
      </x:c>
      <x:c r="D7" s="11" t="s">
        <x:v>57</x:v>
      </x:c>
      <x:c r="E7" s="12" t="s">
        <x:v>64</x:v>
      </x:c>
      <x:c r="F7" s="12" t="s">
        <x:v>50</x:v>
      </x:c>
      <x:c r="G7" s="12" t="s">
        <x:v>65</x:v>
      </x:c>
      <x:c r="H7" s="13" t="s">
        <x:v>66</x:v>
      </x:c>
      <x:c r="I7" s="14" t="s">
        <x:v>46</x:v>
      </x:c>
      <x:c r="J7" s="15" t="s">
        <x:v>67</x:v>
      </x:c>
    </x:row>
    <x:row r="8" ht="90" hidden="0" customHeight="1">
      <x:c r="A8" s="10" t="n">
        <x:v>39</x:v>
      </x:c>
      <x:c r="B8" s="10" t="s">
        <x:v>68</x:v>
      </x:c>
      <x:c r="C8" s="11" t="s">
        <x:v>56</x:v>
      </x:c>
      <x:c r="D8" s="11" t="s">
        <x:v>57</x:v>
      </x:c>
      <x:c r="E8" s="12" t="s">
        <x:v>69</x:v>
      </x:c>
      <x:c r="F8" s="12" t="s">
        <x:v>50</x:v>
      </x:c>
      <x:c r="G8" s="12" t="s">
        <x:v>70</x:v>
      </x:c>
      <x:c r="H8" s="13" t="s">
        <x:v>71</x:v>
      </x:c>
      <x:c r="I8" s="14" t="s">
        <x:v>46</x:v>
      </x:c>
      <x:c r="J8" s="15"/>
    </x:row>
    <x:row r="9" ht="90" hidden="0" customHeight="1">
      <x:c r="A9" s="10" t="n">
        <x:v>28</x:v>
      </x:c>
      <x:c r="B9" s="10" t="s">
        <x:v>72</x:v>
      </x:c>
      <x:c r="C9" s="11" t="s">
        <x:v>40</x:v>
      </x:c>
      <x:c r="D9" s="11" t="s">
        <x:v>57</x:v>
      </x:c>
      <x:c r="E9" s="12" t="s">
        <x:v>73</x:v>
      </x:c>
      <x:c r="F9" s="12" t="s">
        <x:v>74</x:v>
      </x:c>
      <x:c r="G9" s="12" t="s">
        <x:v>75</x:v>
      </x:c>
      <x:c r="H9" s="13" t="s">
        <x:v>76</x:v>
      </x:c>
      <x:c r="I9" s="14" t="s">
        <x:v>46</x:v>
      </x:c>
      <x:c r="J9" s="15"/>
    </x:row>
    <x:row r="10" ht="90" hidden="0" customHeight="1">
      <x:c r="A10" s="10" t="n">
        <x:v>10</x:v>
      </x:c>
      <x:c r="B10" s="10" t="s">
        <x:v>77</x:v>
      </x:c>
      <x:c r="C10" s="11" t="s">
        <x:v>40</x:v>
      </x:c>
      <x:c r="D10" s="11" t="s">
        <x:v>78</x:v>
      </x:c>
      <x:c r="E10" s="12" t="s">
        <x:v>79</x:v>
      </x:c>
      <x:c r="F10" s="12" t="s">
        <x:v>80</x:v>
      </x:c>
      <x:c r="G10" s="12" t="s">
        <x:v>81</x:v>
      </x:c>
      <x:c r="H10" s="13" t="s">
        <x:v>82</x:v>
      </x:c>
      <x:c r="I10" s="14" t="s">
        <x:v>46</x:v>
      </x:c>
      <x:c r="J10" s="15"/>
    </x:row>
    <x:row r="11" ht="90" hidden="0" customHeight="1">
      <x:c r="A11" s="10" t="n">
        <x:v>79</x:v>
      </x:c>
      <x:c r="B11" s="10" t="s">
        <x:v>83</x:v>
      </x:c>
      <x:c r="C11" s="11" t="s">
        <x:v>48</x:v>
      </x:c>
      <x:c r="D11" s="11" t="s">
        <x:v>57</x:v>
      </x:c>
      <x:c r="E11" s="12" t="s">
        <x:v>84</x:v>
      </x:c>
      <x:c r="F11" s="12" t="s">
        <x:v>85</x:v>
      </x:c>
      <x:c r="G11" s="12" t="s">
        <x:v>86</x:v>
      </x:c>
      <x:c r="H11" s="13" t="s">
        <x:v>87</x:v>
      </x:c>
      <x:c r="I11" s="14" t="s">
        <x:v>53</x:v>
      </x:c>
      <x:c r="J11" s="15" t="s">
        <x:v>88</x:v>
      </x:c>
    </x:row>
    <x:row r="12" ht="90" hidden="0" customHeight="1">
      <x:c r="A12" s="10" t="n">
        <x:v>67</x:v>
      </x:c>
      <x:c r="B12" s="10" t="s">
        <x:v>89</x:v>
      </x:c>
      <x:c r="C12" s="11" t="s">
        <x:v>48</x:v>
      </x:c>
      <x:c r="D12" s="11" t="s">
        <x:v>57</x:v>
      </x:c>
      <x:c r="E12" s="12" t="s">
        <x:v>90</x:v>
      </x:c>
      <x:c r="F12" s="12" t="s">
        <x:v>74</x:v>
      </x:c>
      <x:c r="G12" s="12" t="s">
        <x:v>91</x:v>
      </x:c>
      <x:c r="H12" s="13" t="s">
        <x:v>92</x:v>
      </x:c>
      <x:c r="I12" s="14" t="s">
        <x:v>53</x:v>
      </x:c>
      <x:c r="J12" s="15" t="s">
        <x:v>93</x:v>
      </x:c>
    </x:row>
    <x:row r="13" ht="90" hidden="0" customHeight="1">
      <x:c r="A13" s="10" t="n">
        <x:v>44</x:v>
      </x:c>
      <x:c r="B13" s="10" t="s">
        <x:v>94</x:v>
      </x:c>
      <x:c r="C13" s="11" t="s">
        <x:v>56</x:v>
      </x:c>
      <x:c r="D13" s="11" t="s">
        <x:v>57</x:v>
      </x:c>
      <x:c r="E13" s="12" t="s">
        <x:v>95</x:v>
      </x:c>
      <x:c r="F13" s="12" t="s">
        <x:v>96</x:v>
      </x:c>
      <x:c r="G13" s="12" t="s">
        <x:v>97</x:v>
      </x:c>
      <x:c r="H13" s="13" t="s">
        <x:v>98</x:v>
      </x:c>
      <x:c r="I13" s="14" t="s">
        <x:v>53</x:v>
      </x:c>
      <x:c r="J13" s="15" t="s">
        <x:v>99</x:v>
      </x:c>
    </x:row>
    <x:row r="14" ht="90" hidden="0" customHeight="1">
      <x:c r="A14" s="10" t="n">
        <x:v>54</x:v>
      </x:c>
      <x:c r="B14" s="10" t="s">
        <x:v>100</x:v>
      </x:c>
      <x:c r="C14" s="11" t="s">
        <x:v>56</x:v>
      </x:c>
      <x:c r="D14" s="11" t="s">
        <x:v>57</x:v>
      </x:c>
      <x:c r="E14" s="12" t="s">
        <x:v>101</x:v>
      </x:c>
      <x:c r="F14" s="12" t="s">
        <x:v>102</x:v>
      </x:c>
      <x:c r="G14" s="12" t="s">
        <x:v>103</x:v>
      </x:c>
      <x:c r="H14" s="13" t="s">
        <x:v>104</x:v>
      </x:c>
      <x:c r="I14" s="14" t="s">
        <x:v>53</x:v>
      </x:c>
      <x:c r="J14" s="15" t="s">
        <x:v>105</x:v>
      </x:c>
    </x:row>
    <x:row r="15" ht="90" hidden="0" customHeight="1">
      <x:c r="A15" s="10" t="n">
        <x:v>18</x:v>
      </x:c>
      <x:c r="B15" s="10" t="s">
        <x:v>106</x:v>
      </x:c>
      <x:c r="C15" s="11" t="s">
        <x:v>40</x:v>
      </x:c>
      <x:c r="D15" s="11" t="s">
        <x:v>41</x:v>
      </x:c>
      <x:c r="E15" s="12" t="s">
        <x:v>107</x:v>
      </x:c>
      <x:c r="F15" s="12" t="s">
        <x:v>108</x:v>
      </x:c>
      <x:c r="G15" s="12" t="s">
        <x:v>109</x:v>
      </x:c>
      <x:c r="H15" s="13" t="s">
        <x:v>110</x:v>
      </x:c>
      <x:c r="I15" s="14" t="s">
        <x:v>53</x:v>
      </x:c>
      <x:c r="J15" s="15" t="s">
        <x:v>111</x:v>
      </x:c>
    </x:row>
    <x:row r="16" ht="90" hidden="0" customHeight="1">
      <x:c r="A16" s="10" t="n">
        <x:v>47</x:v>
      </x:c>
      <x:c r="B16" s="10" t="s">
        <x:v>112</x:v>
      </x:c>
      <x:c r="C16" s="11" t="s">
        <x:v>56</x:v>
      </x:c>
      <x:c r="D16" s="11" t="s">
        <x:v>57</x:v>
      </x:c>
      <x:c r="E16" s="12" t="s">
        <x:v>113</x:v>
      </x:c>
      <x:c r="F16" s="12" t="s">
        <x:v>114</x:v>
      </x:c>
      <x:c r="G16" s="12" t="s">
        <x:v>115</x:v>
      </x:c>
      <x:c r="H16" s="13" t="s">
        <x:v>116</x:v>
      </x:c>
      <x:c r="I16" s="14" t="s">
        <x:v>53</x:v>
      </x:c>
      <x:c r="J16" s="15" t="s">
        <x:v>117</x:v>
      </x:c>
    </x:row>
    <x:row r="17" ht="90" hidden="0" customHeight="1">
      <x:c r="A17" s="10" t="n">
        <x:v>29</x:v>
      </x:c>
      <x:c r="B17" s="10" t="s">
        <x:v>118</x:v>
      </x:c>
      <x:c r="C17" s="11" t="s">
        <x:v>40</x:v>
      </x:c>
      <x:c r="D17" s="11" t="s">
        <x:v>57</x:v>
      </x:c>
      <x:c r="E17" s="12" t="s">
        <x:v>119</x:v>
      </x:c>
      <x:c r="F17" s="12" t="s">
        <x:v>96</x:v>
      </x:c>
      <x:c r="G17" s="12" t="s">
        <x:v>120</x:v>
      </x:c>
      <x:c r="H17" s="13" t="s">
        <x:v>121</x:v>
      </x:c>
      <x:c r="I17" s="14" t="s">
        <x:v>46</x:v>
      </x:c>
      <x:c r="J17" s="15"/>
    </x:row>
    <x:row r="18" ht="90" hidden="0" customHeight="1">
      <x:c r="A18" s="10" t="n">
        <x:v>16</x:v>
      </x:c>
      <x:c r="B18" s="10" t="s">
        <x:v>122</x:v>
      </x:c>
      <x:c r="C18" s="11" t="s">
        <x:v>40</x:v>
      </x:c>
      <x:c r="D18" s="11" t="s">
        <x:v>78</x:v>
      </x:c>
      <x:c r="E18" s="12" t="s">
        <x:v>123</x:v>
      </x:c>
      <x:c r="F18" s="12" t="s">
        <x:v>124</x:v>
      </x:c>
      <x:c r="G18" s="12" t="s">
        <x:v>125</x:v>
      </x:c>
      <x:c r="H18" s="13" t="s">
        <x:v>126</x:v>
      </x:c>
      <x:c r="I18" s="14" t="s">
        <x:v>53</x:v>
      </x:c>
      <x:c r="J18" s="15" t="s">
        <x:v>111</x:v>
      </x:c>
    </x:row>
    <x:row r="19" ht="90" hidden="0" customHeight="1">
      <x:c r="A19" s="10" t="n">
        <x:v>9</x:v>
      </x:c>
      <x:c r="B19" s="10" t="s">
        <x:v>127</x:v>
      </x:c>
      <x:c r="C19" s="11" t="s">
        <x:v>40</x:v>
      </x:c>
      <x:c r="D19" s="11" t="s">
        <x:v>41</x:v>
      </x:c>
      <x:c r="E19" s="12" t="s">
        <x:v>128</x:v>
      </x:c>
      <x:c r="F19" s="12" t="s">
        <x:v>129</x:v>
      </x:c>
      <x:c r="G19" s="12" t="s">
        <x:v>130</x:v>
      </x:c>
      <x:c r="H19" s="13" t="s">
        <x:v>131</x:v>
      </x:c>
      <x:c r="I19" s="14" t="s">
        <x:v>46</x:v>
      </x:c>
      <x:c r="J19" s="15"/>
    </x:row>
    <x:row r="20" ht="90" hidden="0" customHeight="1">
      <x:c r="A20" s="10" t="n">
        <x:v>72</x:v>
      </x:c>
      <x:c r="B20" s="10" t="s">
        <x:v>132</x:v>
      </x:c>
      <x:c r="C20" s="11" t="s">
        <x:v>48</x:v>
      </x:c>
      <x:c r="D20" s="11" t="s">
        <x:v>57</x:v>
      </x:c>
      <x:c r="E20" s="12" t="s">
        <x:v>133</x:v>
      </x:c>
      <x:c r="F20" s="12" t="s">
        <x:v>134</x:v>
      </x:c>
      <x:c r="G20" s="12" t="s">
        <x:v>135</x:v>
      </x:c>
      <x:c r="H20" s="13" t="s">
        <x:v>136</x:v>
      </x:c>
      <x:c r="I20" s="14" t="s">
        <x:v>53</x:v>
      </x:c>
      <x:c r="J20" s="15" t="s">
        <x:v>137</x:v>
      </x:c>
    </x:row>
    <x:row r="21" ht="90" hidden="0" customHeight="1">
      <x:c r="A21" s="10" t="n">
        <x:v>40</x:v>
      </x:c>
      <x:c r="B21" s="10" t="s">
        <x:v>138</x:v>
      </x:c>
      <x:c r="C21" s="11" t="s">
        <x:v>56</x:v>
      </x:c>
      <x:c r="D21" s="11" t="s">
        <x:v>57</x:v>
      </x:c>
      <x:c r="E21" s="12" t="s">
        <x:v>139</x:v>
      </x:c>
      <x:c r="F21" s="12" t="s">
        <x:v>129</x:v>
      </x:c>
      <x:c r="G21" s="12" t="s">
        <x:v>140</x:v>
      </x:c>
      <x:c r="H21" s="13" t="s">
        <x:v>141</x:v>
      </x:c>
      <x:c r="I21" s="14" t="s">
        <x:v>46</x:v>
      </x:c>
      <x:c r="J21" s="15"/>
    </x:row>
    <x:row r="22" ht="90" hidden="0" customHeight="1">
      <x:c r="A22" s="10" t="n">
        <x:v>31</x:v>
      </x:c>
      <x:c r="B22" s="10" t="s">
        <x:v>142</x:v>
      </x:c>
      <x:c r="C22" s="11" t="s">
        <x:v>56</x:v>
      </x:c>
      <x:c r="D22" s="11" t="s">
        <x:v>57</x:v>
      </x:c>
      <x:c r="E22" s="12" t="s">
        <x:v>143</x:v>
      </x:c>
      <x:c r="F22" s="12" t="s">
        <x:v>114</x:v>
      </x:c>
      <x:c r="G22" s="12" t="s">
        <x:v>144</x:v>
      </x:c>
      <x:c r="H22" s="13" t="s">
        <x:v>145</x:v>
      </x:c>
      <x:c r="I22" s="14" t="s">
        <x:v>53</x:v>
      </x:c>
      <x:c r="J22" s="15" t="s">
        <x:v>146</x:v>
      </x:c>
    </x:row>
    <x:row r="23" ht="90" hidden="0" customHeight="1">
      <x:c r="A23" s="10" t="n">
        <x:v>65</x:v>
      </x:c>
      <x:c r="B23" s="10" t="s">
        <x:v>147</x:v>
      </x:c>
      <x:c r="C23" s="11" t="s">
        <x:v>48</x:v>
      </x:c>
      <x:c r="D23" s="11" t="s">
        <x:v>57</x:v>
      </x:c>
      <x:c r="E23" s="12" t="s">
        <x:v>148</x:v>
      </x:c>
      <x:c r="F23" s="12" t="s">
        <x:v>85</x:v>
      </x:c>
      <x:c r="G23" s="12" t="s">
        <x:v>149</x:v>
      </x:c>
      <x:c r="H23" s="13" t="s">
        <x:v>150</x:v>
      </x:c>
      <x:c r="I23" s="14" t="s">
        <x:v>53</x:v>
      </x:c>
      <x:c r="J23" s="15" t="s">
        <x:v>151</x:v>
      </x:c>
    </x:row>
    <x:row r="24" ht="90" hidden="0" customHeight="1">
      <x:c r="A24" s="10" t="n">
        <x:v>1</x:v>
      </x:c>
      <x:c r="B24" s="10" t="s">
        <x:v>152</x:v>
      </x:c>
      <x:c r="C24" s="11" t="s">
        <x:v>40</x:v>
      </x:c>
      <x:c r="D24" s="11" t="s">
        <x:v>78</x:v>
      </x:c>
      <x:c r="E24" s="12" t="s">
        <x:v>153</x:v>
      </x:c>
      <x:c r="F24" s="12" t="s">
        <x:v>74</x:v>
      </x:c>
      <x:c r="G24" s="12" t="s">
        <x:v>154</x:v>
      </x:c>
      <x:c r="H24" s="13" t="s">
        <x:v>155</x:v>
      </x:c>
      <x:c r="I24" s="14" t="s">
        <x:v>46</x:v>
      </x:c>
      <x:c r="J24" s="15"/>
    </x:row>
    <x:row r="25" ht="90" hidden="0" customHeight="1">
      <x:c r="A25" s="10" t="n">
        <x:v>2</x:v>
      </x:c>
      <x:c r="B25" s="10" t="s">
        <x:v>156</x:v>
      </x:c>
      <x:c r="C25" s="11" t="s">
        <x:v>40</x:v>
      </x:c>
      <x:c r="D25" s="11" t="s">
        <x:v>78</x:v>
      </x:c>
      <x:c r="E25" s="12" t="s">
        <x:v>157</x:v>
      </x:c>
      <x:c r="F25" s="12" t="s">
        <x:v>74</x:v>
      </x:c>
      <x:c r="G25" s="12" t="s">
        <x:v>158</x:v>
      </x:c>
      <x:c r="H25" s="13" t="s">
        <x:v>159</x:v>
      </x:c>
      <x:c r="I25" s="14" t="s">
        <x:v>46</x:v>
      </x:c>
      <x:c r="J25" s="15"/>
    </x:row>
    <x:row r="26" ht="90" hidden="0" customHeight="1">
      <x:c r="A26" s="10" t="n">
        <x:v>3</x:v>
      </x:c>
      <x:c r="B26" s="10" t="s">
        <x:v>160</x:v>
      </x:c>
      <x:c r="C26" s="11" t="s">
        <x:v>40</x:v>
      </x:c>
      <x:c r="D26" s="11" t="s">
        <x:v>41</x:v>
      </x:c>
      <x:c r="E26" s="12" t="s">
        <x:v>161</x:v>
      </x:c>
      <x:c r="F26" s="12" t="s">
        <x:v>74</x:v>
      </x:c>
      <x:c r="G26" s="12" t="s">
        <x:v>162</x:v>
      </x:c>
      <x:c r="H26" s="13" t="s">
        <x:v>163</x:v>
      </x:c>
      <x:c r="I26" s="14" t="s">
        <x:v>46</x:v>
      </x:c>
      <x:c r="J26" s="15"/>
    </x:row>
    <x:row r="27" ht="90" hidden="0" customHeight="1">
      <x:c r="A27" s="10" t="n">
        <x:v>4</x:v>
      </x:c>
      <x:c r="B27" s="10" t="s">
        <x:v>164</x:v>
      </x:c>
      <x:c r="C27" s="11" t="s">
        <x:v>40</x:v>
      </x:c>
      <x:c r="D27" s="11" t="s">
        <x:v>78</x:v>
      </x:c>
      <x:c r="E27" s="12" t="s">
        <x:v>165</x:v>
      </x:c>
      <x:c r="F27" s="12" t="s">
        <x:v>50</x:v>
      </x:c>
      <x:c r="G27" s="12" t="s">
        <x:v>166</x:v>
      </x:c>
      <x:c r="H27" s="13" t="s">
        <x:v>167</x:v>
      </x:c>
      <x:c r="I27" s="14" t="s">
        <x:v>46</x:v>
      </x:c>
      <x:c r="J27" s="15"/>
    </x:row>
    <x:row r="28" ht="90" hidden="0" customHeight="1">
      <x:c r="A28" s="10" t="n">
        <x:v>5</x:v>
      </x:c>
      <x:c r="B28" s="10" t="s">
        <x:v>168</x:v>
      </x:c>
      <x:c r="C28" s="11" t="s">
        <x:v>40</x:v>
      </x:c>
      <x:c r="D28" s="11" t="s">
        <x:v>78</x:v>
      </x:c>
      <x:c r="E28" s="12" t="s">
        <x:v>169</x:v>
      </x:c>
      <x:c r="F28" s="12" t="s">
        <x:v>50</x:v>
      </x:c>
      <x:c r="G28" s="12" t="s">
        <x:v>170</x:v>
      </x:c>
      <x:c r="H28" s="13" t="s">
        <x:v>171</x:v>
      </x:c>
      <x:c r="I28" s="14" t="s">
        <x:v>46</x:v>
      </x:c>
      <x:c r="J28" s="15"/>
    </x:row>
    <x:row r="29" ht="90" hidden="0" customHeight="1">
      <x:c r="A29" s="10" t="n">
        <x:v>6</x:v>
      </x:c>
      <x:c r="B29" s="10" t="s">
        <x:v>172</x:v>
      </x:c>
      <x:c r="C29" s="11" t="s">
        <x:v>40</x:v>
      </x:c>
      <x:c r="D29" s="11" t="s">
        <x:v>41</x:v>
      </x:c>
      <x:c r="E29" s="12" t="s">
        <x:v>173</x:v>
      </x:c>
      <x:c r="F29" s="12" t="s">
        <x:v>50</x:v>
      </x:c>
      <x:c r="G29" s="12" t="s">
        <x:v>174</x:v>
      </x:c>
      <x:c r="H29" s="13" t="s">
        <x:v>175</x:v>
      </x:c>
      <x:c r="I29" s="14" t="s">
        <x:v>46</x:v>
      </x:c>
      <x:c r="J29" s="15"/>
    </x:row>
    <x:row r="30" ht="90" hidden="0" customHeight="1">
      <x:c r="A30" s="10" t="n">
        <x:v>7</x:v>
      </x:c>
      <x:c r="B30" s="10" t="s">
        <x:v>176</x:v>
      </x:c>
      <x:c r="C30" s="11" t="s">
        <x:v>40</x:v>
      </x:c>
      <x:c r="D30" s="11" t="s">
        <x:v>78</x:v>
      </x:c>
      <x:c r="E30" s="12" t="s">
        <x:v>177</x:v>
      </x:c>
      <x:c r="F30" s="12" t="s">
        <x:v>114</x:v>
      </x:c>
      <x:c r="G30" s="12" t="s">
        <x:v>178</x:v>
      </x:c>
      <x:c r="H30" s="13" t="s">
        <x:v>179</x:v>
      </x:c>
      <x:c r="I30" s="14" t="s">
        <x:v>46</x:v>
      </x:c>
      <x:c r="J30" s="15"/>
    </x:row>
    <x:row r="31" ht="90" hidden="0" customHeight="1">
      <x:c r="A31" s="10" t="n">
        <x:v>8</x:v>
      </x:c>
      <x:c r="B31" s="10" t="s">
        <x:v>180</x:v>
      </x:c>
      <x:c r="C31" s="11" t="s">
        <x:v>40</x:v>
      </x:c>
      <x:c r="D31" s="11" t="s">
        <x:v>78</x:v>
      </x:c>
      <x:c r="E31" s="12" t="s">
        <x:v>181</x:v>
      </x:c>
      <x:c r="F31" s="12" t="s">
        <x:v>129</x:v>
      </x:c>
      <x:c r="G31" s="12" t="s">
        <x:v>182</x:v>
      </x:c>
      <x:c r="H31" s="13" t="s">
        <x:v>183</x:v>
      </x:c>
      <x:c r="I31" s="14" t="s">
        <x:v>53</x:v>
      </x:c>
      <x:c r="J31" s="15" t="s">
        <x:v>184</x:v>
      </x:c>
    </x:row>
    <x:row r="32" ht="90" hidden="0" customHeight="1">
      <x:c r="A32" s="10" t="n">
        <x:v>11</x:v>
      </x:c>
      <x:c r="B32" s="10" t="s">
        <x:v>185</x:v>
      </x:c>
      <x:c r="C32" s="11" t="s">
        <x:v>40</x:v>
      </x:c>
      <x:c r="D32" s="11" t="s">
        <x:v>78</x:v>
      </x:c>
      <x:c r="E32" s="12" t="s">
        <x:v>186</x:v>
      </x:c>
      <x:c r="F32" s="12" t="s">
        <x:v>102</x:v>
      </x:c>
      <x:c r="G32" s="12" t="s">
        <x:v>187</x:v>
      </x:c>
      <x:c r="H32" s="13" t="s">
        <x:v>188</x:v>
      </x:c>
      <x:c r="I32" s="14" t="s">
        <x:v>46</x:v>
      </x:c>
      <x:c r="J32" s="15"/>
    </x:row>
    <x:row r="33" ht="90" hidden="0" customHeight="1">
      <x:c r="A33" s="10" t="n">
        <x:v>12</x:v>
      </x:c>
      <x:c r="B33" s="10" t="s">
        <x:v>189</x:v>
      </x:c>
      <x:c r="C33" s="11" t="s">
        <x:v>40</x:v>
      </x:c>
      <x:c r="D33" s="11" t="s">
        <x:v>78</x:v>
      </x:c>
      <x:c r="E33" s="12" t="s">
        <x:v>190</x:v>
      </x:c>
      <x:c r="F33" s="12" t="s">
        <x:v>191</x:v>
      </x:c>
      <x:c r="G33" s="12" t="s">
        <x:v>192</x:v>
      </x:c>
      <x:c r="H33" s="13" t="s">
        <x:v>193</x:v>
      </x:c>
      <x:c r="I33" s="14" t="s">
        <x:v>46</x:v>
      </x:c>
      <x:c r="J33" s="15"/>
    </x:row>
    <x:row r="34" ht="90" hidden="0" customHeight="1">
      <x:c r="A34" s="10" t="n">
        <x:v>13</x:v>
      </x:c>
      <x:c r="B34" s="10" t="s">
        <x:v>194</x:v>
      </x:c>
      <x:c r="C34" s="11" t="s">
        <x:v>40</x:v>
      </x:c>
      <x:c r="D34" s="11" t="s">
        <x:v>41</x:v>
      </x:c>
      <x:c r="E34" s="12" t="s">
        <x:v>195</x:v>
      </x:c>
      <x:c r="F34" s="12" t="s">
        <x:v>196</x:v>
      </x:c>
      <x:c r="G34" s="12" t="s">
        <x:v>197</x:v>
      </x:c>
      <x:c r="H34" s="13" t="s">
        <x:v>198</x:v>
      </x:c>
      <x:c r="I34" s="14" t="s">
        <x:v>53</x:v>
      </x:c>
      <x:c r="J34" s="15" t="s">
        <x:v>199</x:v>
      </x:c>
    </x:row>
    <x:row r="35" ht="90" hidden="0" customHeight="1">
      <x:c r="A35" s="10" t="n">
        <x:v>14</x:v>
      </x:c>
      <x:c r="B35" s="10" t="s">
        <x:v>200</x:v>
      </x:c>
      <x:c r="C35" s="11" t="s">
        <x:v>40</x:v>
      </x:c>
      <x:c r="D35" s="11" t="s">
        <x:v>41</x:v>
      </x:c>
      <x:c r="E35" s="12" t="s">
        <x:v>201</x:v>
      </x:c>
      <x:c r="F35" s="12" t="s">
        <x:v>96</x:v>
      </x:c>
      <x:c r="G35" s="12" t="s">
        <x:v>202</x:v>
      </x:c>
      <x:c r="H35" s="13" t="s">
        <x:v>203</x:v>
      </x:c>
      <x:c r="I35" s="14" t="s">
        <x:v>204</x:v>
      </x:c>
      <x:c r="J35" s="15" t="s">
        <x:v>205</x:v>
      </x:c>
    </x:row>
    <x:row r="36" ht="90" hidden="0" customHeight="1">
      <x:c r="A36" s="10" t="n">
        <x:v>15</x:v>
      </x:c>
      <x:c r="B36" s="10" t="s">
        <x:v>206</x:v>
      </x:c>
      <x:c r="C36" s="11" t="s">
        <x:v>40</x:v>
      </x:c>
      <x:c r="D36" s="11" t="s">
        <x:v>57</x:v>
      </x:c>
      <x:c r="E36" s="12" t="s">
        <x:v>207</x:v>
      </x:c>
      <x:c r="F36" s="12" t="s">
        <x:v>96</x:v>
      </x:c>
      <x:c r="G36" s="12" t="s">
        <x:v>208</x:v>
      </x:c>
      <x:c r="H36" s="13" t="s">
        <x:v>209</x:v>
      </x:c>
      <x:c r="I36" s="14" t="s">
        <x:v>53</x:v>
      </x:c>
      <x:c r="J36" s="15" t="s">
        <x:v>210</x:v>
      </x:c>
    </x:row>
    <x:row r="37" ht="90" hidden="0" customHeight="1">
      <x:c r="A37" s="10" t="n">
        <x:v>17</x:v>
      </x:c>
      <x:c r="B37" s="10" t="s">
        <x:v>211</x:v>
      </x:c>
      <x:c r="C37" s="11" t="s">
        <x:v>40</x:v>
      </x:c>
      <x:c r="D37" s="11" t="s">
        <x:v>78</x:v>
      </x:c>
      <x:c r="E37" s="12" t="s">
        <x:v>212</x:v>
      </x:c>
      <x:c r="F37" s="12" t="s">
        <x:v>213</x:v>
      </x:c>
      <x:c r="G37" s="12" t="s">
        <x:v>214</x:v>
      </x:c>
      <x:c r="H37" s="13" t="s">
        <x:v>215</x:v>
      </x:c>
      <x:c r="I37" s="14" t="s">
        <x:v>46</x:v>
      </x:c>
      <x:c r="J37" s="15"/>
    </x:row>
    <x:row r="38" ht="90" hidden="0" customHeight="1">
      <x:c r="A38" s="10" t="n">
        <x:v>19</x:v>
      </x:c>
      <x:c r="B38" s="10" t="s">
        <x:v>216</x:v>
      </x:c>
      <x:c r="C38" s="11" t="s">
        <x:v>40</x:v>
      </x:c>
      <x:c r="D38" s="11" t="s">
        <x:v>57</x:v>
      </x:c>
      <x:c r="E38" s="12" t="s">
        <x:v>217</x:v>
      </x:c>
      <x:c r="F38" s="12" t="s">
        <x:v>218</x:v>
      </x:c>
      <x:c r="G38" s="12" t="s">
        <x:v>219</x:v>
      </x:c>
      <x:c r="H38" s="13" t="s">
        <x:v>220</x:v>
      </x:c>
      <x:c r="I38" s="14" t="s">
        <x:v>53</x:v>
      </x:c>
      <x:c r="J38" s="15" t="s">
        <x:v>221</x:v>
      </x:c>
    </x:row>
    <x:row r="39" ht="90" hidden="0" customHeight="1">
      <x:c r="A39" s="10" t="n">
        <x:v>20</x:v>
      </x:c>
      <x:c r="B39" s="10" t="s">
        <x:v>222</x:v>
      </x:c>
      <x:c r="C39" s="11" t="s">
        <x:v>40</x:v>
      </x:c>
      <x:c r="D39" s="11" t="s">
        <x:v>41</x:v>
      </x:c>
      <x:c r="E39" s="12" t="s">
        <x:v>223</x:v>
      </x:c>
      <x:c r="F39" s="12" t="s">
        <x:v>224</x:v>
      </x:c>
      <x:c r="G39" s="12" t="s">
        <x:v>225</x:v>
      </x:c>
      <x:c r="H39" s="13" t="s">
        <x:v>226</x:v>
      </x:c>
      <x:c r="I39" s="14" t="s">
        <x:v>46</x:v>
      </x:c>
      <x:c r="J39" s="15"/>
    </x:row>
    <x:row r="40" ht="90" hidden="0" customHeight="1">
      <x:c r="A40" s="10" t="n">
        <x:v>21</x:v>
      </x:c>
      <x:c r="B40" s="10" t="s">
        <x:v>227</x:v>
      </x:c>
      <x:c r="C40" s="11" t="s">
        <x:v>40</x:v>
      </x:c>
      <x:c r="D40" s="11" t="s">
        <x:v>41</x:v>
      </x:c>
      <x:c r="E40" s="12" t="s">
        <x:v>228</x:v>
      </x:c>
      <x:c r="F40" s="12" t="s">
        <x:v>229</x:v>
      </x:c>
      <x:c r="G40" s="12" t="s">
        <x:v>230</x:v>
      </x:c>
      <x:c r="H40" s="13" t="s">
        <x:v>231</x:v>
      </x:c>
      <x:c r="I40" s="14" t="s">
        <x:v>46</x:v>
      </x:c>
      <x:c r="J40" s="15"/>
    </x:row>
    <x:row r="41" ht="90" hidden="0" customHeight="1">
      <x:c r="A41" s="10" t="n">
        <x:v>22</x:v>
      </x:c>
      <x:c r="B41" s="10" t="s">
        <x:v>232</x:v>
      </x:c>
      <x:c r="C41" s="11" t="s">
        <x:v>40</x:v>
      </x:c>
      <x:c r="D41" s="11" t="s">
        <x:v>78</x:v>
      </x:c>
      <x:c r="E41" s="12" t="s">
        <x:v>233</x:v>
      </x:c>
      <x:c r="F41" s="12" t="s">
        <x:v>234</x:v>
      </x:c>
      <x:c r="G41" s="12" t="s">
        <x:v>235</x:v>
      </x:c>
      <x:c r="H41" s="13" t="s">
        <x:v>236</x:v>
      </x:c>
      <x:c r="I41" s="14" t="s">
        <x:v>53</x:v>
      </x:c>
      <x:c r="J41" s="15" t="s">
        <x:v>237</x:v>
      </x:c>
    </x:row>
    <x:row r="42" ht="90" hidden="0" customHeight="1">
      <x:c r="A42" s="10" t="n">
        <x:v>23</x:v>
      </x:c>
      <x:c r="B42" s="10" t="s">
        <x:v>238</x:v>
      </x:c>
      <x:c r="C42" s="11" t="s">
        <x:v>40</x:v>
      </x:c>
      <x:c r="D42" s="11" t="s">
        <x:v>41</x:v>
      </x:c>
      <x:c r="E42" s="12" t="s">
        <x:v>239</x:v>
      </x:c>
      <x:c r="F42" s="12" t="s">
        <x:v>240</x:v>
      </x:c>
      <x:c r="G42" s="12" t="s">
        <x:v>241</x:v>
      </x:c>
      <x:c r="H42" s="13" t="s">
        <x:v>242</x:v>
      </x:c>
      <x:c r="I42" s="14" t="s">
        <x:v>204</x:v>
      </x:c>
      <x:c r="J42" s="15" t="s">
        <x:v>243</x:v>
      </x:c>
    </x:row>
    <x:row r="43" ht="90" hidden="0" customHeight="1">
      <x:c r="A43" s="10" t="n">
        <x:v>25</x:v>
      </x:c>
      <x:c r="B43" s="10" t="s">
        <x:v>244</x:v>
      </x:c>
      <x:c r="C43" s="11" t="s">
        <x:v>40</x:v>
      </x:c>
      <x:c r="D43" s="11" t="s">
        <x:v>41</x:v>
      </x:c>
      <x:c r="E43" s="12" t="s">
        <x:v>245</x:v>
      </x:c>
      <x:c r="F43" s="12" t="s">
        <x:v>134</x:v>
      </x:c>
      <x:c r="G43" s="12" t="s">
        <x:v>246</x:v>
      </x:c>
      <x:c r="H43" s="13" t="s">
        <x:v>247</x:v>
      </x:c>
      <x:c r="I43" s="14" t="s">
        <x:v>204</x:v>
      </x:c>
      <x:c r="J43" s="15" t="s">
        <x:v>248</x:v>
      </x:c>
    </x:row>
    <x:row r="44" ht="90" hidden="0" customHeight="1">
      <x:c r="A44" s="10" t="n">
        <x:v>26</x:v>
      </x:c>
      <x:c r="B44" s="10" t="s">
        <x:v>249</x:v>
      </x:c>
      <x:c r="C44" s="11" t="s">
        <x:v>40</x:v>
      </x:c>
      <x:c r="D44" s="11" t="s">
        <x:v>57</x:v>
      </x:c>
      <x:c r="E44" s="12" t="s">
        <x:v>250</x:v>
      </x:c>
      <x:c r="F44" s="12" t="s">
        <x:v>43</x:v>
      </x:c>
      <x:c r="G44" s="12" t="s">
        <x:v>251</x:v>
      </x:c>
      <x:c r="H44" s="13" t="s">
        <x:v>252</x:v>
      </x:c>
      <x:c r="I44" s="14" t="s">
        <x:v>46</x:v>
      </x:c>
      <x:c r="J44" s="15"/>
    </x:row>
    <x:row r="45" ht="90" hidden="0" customHeight="1">
      <x:c r="A45" s="10" t="n">
        <x:v>27</x:v>
      </x:c>
      <x:c r="B45" s="10" t="s">
        <x:v>253</x:v>
      </x:c>
      <x:c r="C45" s="11" t="s">
        <x:v>40</x:v>
      </x:c>
      <x:c r="D45" s="11" t="s">
        <x:v>57</x:v>
      </x:c>
      <x:c r="E45" s="12" t="s">
        <x:v>254</x:v>
      </x:c>
      <x:c r="F45" s="12" t="s">
        <x:v>134</x:v>
      </x:c>
      <x:c r="G45" s="12" t="s">
        <x:v>255</x:v>
      </x:c>
      <x:c r="H45" s="13" t="s">
        <x:v>256</x:v>
      </x:c>
      <x:c r="I45" s="14" t="s">
        <x:v>53</x:v>
      </x:c>
      <x:c r="J45" s="15" t="s">
        <x:v>257</x:v>
      </x:c>
    </x:row>
    <x:row r="46" ht="90" hidden="0" customHeight="1">
      <x:c r="A46" s="10" t="n">
        <x:v>30</x:v>
      </x:c>
      <x:c r="B46" s="10" t="s">
        <x:v>258</x:v>
      </x:c>
      <x:c r="C46" s="11" t="s">
        <x:v>40</x:v>
      </x:c>
      <x:c r="D46" s="11" t="s">
        <x:v>57</x:v>
      </x:c>
      <x:c r="E46" s="12" t="s">
        <x:v>259</x:v>
      </x:c>
      <x:c r="F46" s="12" t="s">
        <x:v>74</x:v>
      </x:c>
      <x:c r="G46" s="12" t="s">
        <x:v>260</x:v>
      </x:c>
      <x:c r="H46" s="13" t="s">
        <x:v>261</x:v>
      </x:c>
      <x:c r="I46" s="14" t="s">
        <x:v>53</x:v>
      </x:c>
      <x:c r="J46" s="15" t="s">
        <x:v>262</x:v>
      </x:c>
    </x:row>
    <x:row r="47" ht="90" hidden="0" customHeight="1">
      <x:c r="A47" s="10" t="n">
        <x:v>32</x:v>
      </x:c>
      <x:c r="B47" s="10" t="s">
        <x:v>263</x:v>
      </x:c>
      <x:c r="C47" s="11" t="s">
        <x:v>56</x:v>
      </x:c>
      <x:c r="D47" s="11" t="s">
        <x:v>57</x:v>
      </x:c>
      <x:c r="E47" s="12" t="s">
        <x:v>264</x:v>
      </x:c>
      <x:c r="F47" s="12" t="s">
        <x:v>129</x:v>
      </x:c>
      <x:c r="G47" s="12" t="s">
        <x:v>265</x:v>
      </x:c>
      <x:c r="H47" s="13" t="s">
        <x:v>266</x:v>
      </x:c>
      <x:c r="I47" s="14" t="s">
        <x:v>53</x:v>
      </x:c>
      <x:c r="J47" s="15" t="s">
        <x:v>267</x:v>
      </x:c>
    </x:row>
    <x:row r="48" ht="90" hidden="0" customHeight="1">
      <x:c r="A48" s="10" t="n">
        <x:v>33</x:v>
      </x:c>
      <x:c r="B48" s="10" t="s">
        <x:v>268</x:v>
      </x:c>
      <x:c r="C48" s="11" t="s">
        <x:v>56</x:v>
      </x:c>
      <x:c r="D48" s="11" t="s">
        <x:v>57</x:v>
      </x:c>
      <x:c r="E48" s="12" t="s">
        <x:v>269</x:v>
      </x:c>
      <x:c r="F48" s="12" t="s">
        <x:v>74</x:v>
      </x:c>
      <x:c r="G48" s="12" t="s">
        <x:v>270</x:v>
      </x:c>
      <x:c r="H48" s="13" t="s">
        <x:v>271</x:v>
      </x:c>
      <x:c r="I48" s="14" t="s">
        <x:v>53</x:v>
      </x:c>
      <x:c r="J48" s="15" t="s">
        <x:v>272</x:v>
      </x:c>
    </x:row>
    <x:row r="49" ht="90" hidden="0" customHeight="1">
      <x:c r="A49" s="10" t="n">
        <x:v>34</x:v>
      </x:c>
      <x:c r="B49" s="10" t="s">
        <x:v>273</x:v>
      </x:c>
      <x:c r="C49" s="11" t="s">
        <x:v>56</x:v>
      </x:c>
      <x:c r="D49" s="11" t="s">
        <x:v>57</x:v>
      </x:c>
      <x:c r="E49" s="12" t="s">
        <x:v>274</x:v>
      </x:c>
      <x:c r="F49" s="12" t="s">
        <x:v>102</x:v>
      </x:c>
      <x:c r="G49" s="12" t="s">
        <x:v>275</x:v>
      </x:c>
      <x:c r="H49" s="13" t="s">
        <x:v>276</x:v>
      </x:c>
      <x:c r="I49" s="14" t="s">
        <x:v>53</x:v>
      </x:c>
      <x:c r="J49" s="15" t="s">
        <x:v>277</x:v>
      </x:c>
    </x:row>
    <x:row r="50" ht="90" hidden="0" customHeight="1">
      <x:c r="A50" s="10" t="n">
        <x:v>35</x:v>
      </x:c>
      <x:c r="B50" s="10" t="s">
        <x:v>278</x:v>
      </x:c>
      <x:c r="C50" s="11" t="s">
        <x:v>56</x:v>
      </x:c>
      <x:c r="D50" s="11" t="s">
        <x:v>57</x:v>
      </x:c>
      <x:c r="E50" s="12" t="s">
        <x:v>279</x:v>
      </x:c>
      <x:c r="F50" s="12" t="s">
        <x:v>96</x:v>
      </x:c>
      <x:c r="G50" s="12" t="s">
        <x:v>280</x:v>
      </x:c>
      <x:c r="H50" s="13" t="s">
        <x:v>281</x:v>
      </x:c>
      <x:c r="I50" s="14" t="s">
        <x:v>53</x:v>
      </x:c>
      <x:c r="J50" s="15" t="s">
        <x:v>282</x:v>
      </x:c>
    </x:row>
    <x:row r="51" ht="90" hidden="0" customHeight="1">
      <x:c r="A51" s="10" t="n">
        <x:v>36</x:v>
      </x:c>
      <x:c r="B51" s="10" t="s">
        <x:v>283</x:v>
      </x:c>
      <x:c r="C51" s="11" t="s">
        <x:v>56</x:v>
      </x:c>
      <x:c r="D51" s="11" t="s">
        <x:v>57</x:v>
      </x:c>
      <x:c r="E51" s="12" t="s">
        <x:v>284</x:v>
      </x:c>
      <x:c r="F51" s="12" t="s">
        <x:v>191</x:v>
      </x:c>
      <x:c r="G51" s="12" t="s">
        <x:v>285</x:v>
      </x:c>
      <x:c r="H51" s="13" t="s">
        <x:v>286</x:v>
      </x:c>
      <x:c r="I51" s="14" t="s">
        <x:v>53</x:v>
      </x:c>
      <x:c r="J51" s="15" t="s">
        <x:v>287</x:v>
      </x:c>
    </x:row>
    <x:row r="52" ht="90" hidden="0" customHeight="1">
      <x:c r="A52" s="10" t="n">
        <x:v>37</x:v>
      </x:c>
      <x:c r="B52" s="10" t="s">
        <x:v>288</x:v>
      </x:c>
      <x:c r="C52" s="11" t="s">
        <x:v>56</x:v>
      </x:c>
      <x:c r="D52" s="11" t="s">
        <x:v>57</x:v>
      </x:c>
      <x:c r="E52" s="12" t="s">
        <x:v>289</x:v>
      </x:c>
      <x:c r="F52" s="12" t="s">
        <x:v>196</x:v>
      </x:c>
      <x:c r="G52" s="12" t="s">
        <x:v>290</x:v>
      </x:c>
      <x:c r="H52" s="13" t="s">
        <x:v>291</x:v>
      </x:c>
      <x:c r="I52" s="14" t="s">
        <x:v>53</x:v>
      </x:c>
      <x:c r="J52" s="15" t="s">
        <x:v>292</x:v>
      </x:c>
    </x:row>
    <x:row r="53" ht="90" hidden="0" customHeight="1">
      <x:c r="A53" s="10" t="n">
        <x:v>38</x:v>
      </x:c>
      <x:c r="B53" s="10" t="s">
        <x:v>293</x:v>
      </x:c>
      <x:c r="C53" s="11" t="s">
        <x:v>56</x:v>
      </x:c>
      <x:c r="D53" s="11" t="s">
        <x:v>57</x:v>
      </x:c>
      <x:c r="E53" s="12" t="s">
        <x:v>294</x:v>
      </x:c>
      <x:c r="F53" s="12" t="s">
        <x:v>124</x:v>
      </x:c>
      <x:c r="G53" s="12" t="s">
        <x:v>295</x:v>
      </x:c>
      <x:c r="H53" s="13" t="s">
        <x:v>296</x:v>
      </x:c>
      <x:c r="I53" s="14" t="s">
        <x:v>53</x:v>
      </x:c>
      <x:c r="J53" s="15" t="s">
        <x:v>297</x:v>
      </x:c>
    </x:row>
    <x:row r="54" ht="90" hidden="0" customHeight="1">
      <x:c r="A54" s="10" t="n">
        <x:v>41</x:v>
      </x:c>
      <x:c r="B54" s="10" t="s">
        <x:v>298</x:v>
      </x:c>
      <x:c r="C54" s="11" t="s">
        <x:v>56</x:v>
      </x:c>
      <x:c r="D54" s="11" t="s">
        <x:v>57</x:v>
      </x:c>
      <x:c r="E54" s="12" t="s">
        <x:v>299</x:v>
      </x:c>
      <x:c r="F54" s="12" t="s">
        <x:v>224</x:v>
      </x:c>
      <x:c r="G54" s="12" t="s">
        <x:v>300</x:v>
      </x:c>
      <x:c r="H54" s="13" t="s">
        <x:v>301</x:v>
      </x:c>
      <x:c r="I54" s="14" t="s">
        <x:v>53</x:v>
      </x:c>
      <x:c r="J54" s="15" t="s">
        <x:v>302</x:v>
      </x:c>
    </x:row>
    <x:row r="55" ht="90" hidden="0" customHeight="1">
      <x:c r="A55" s="10" t="n">
        <x:v>43</x:v>
      </x:c>
      <x:c r="B55" s="10" t="s">
        <x:v>303</x:v>
      </x:c>
      <x:c r="C55" s="11" t="s">
        <x:v>56</x:v>
      </x:c>
      <x:c r="D55" s="11" t="s">
        <x:v>57</x:v>
      </x:c>
      <x:c r="E55" s="12" t="s">
        <x:v>304</x:v>
      </x:c>
      <x:c r="F55" s="12" t="s">
        <x:v>124</x:v>
      </x:c>
      <x:c r="G55" s="12" t="s">
        <x:v>305</x:v>
      </x:c>
      <x:c r="H55" s="13" t="s">
        <x:v>306</x:v>
      </x:c>
      <x:c r="I55" s="14" t="s">
        <x:v>53</x:v>
      </x:c>
      <x:c r="J55" s="15" t="s">
        <x:v>307</x:v>
      </x:c>
    </x:row>
    <x:row r="56" ht="90" hidden="0" customHeight="1">
      <x:c r="A56" s="10" t="n">
        <x:v>45</x:v>
      </x:c>
      <x:c r="B56" s="10" t="s">
        <x:v>308</x:v>
      </x:c>
      <x:c r="C56" s="11" t="s">
        <x:v>56</x:v>
      </x:c>
      <x:c r="D56" s="11" t="s">
        <x:v>57</x:v>
      </x:c>
      <x:c r="E56" s="12" t="s">
        <x:v>309</x:v>
      </x:c>
      <x:c r="F56" s="12" t="s">
        <x:v>218</x:v>
      </x:c>
      <x:c r="G56" s="12" t="s">
        <x:v>310</x:v>
      </x:c>
      <x:c r="H56" s="13" t="s">
        <x:v>311</x:v>
      </x:c>
      <x:c r="I56" s="14" t="s">
        <x:v>53</x:v>
      </x:c>
      <x:c r="J56" s="15" t="s">
        <x:v>312</x:v>
      </x:c>
    </x:row>
    <x:row r="57" ht="90" hidden="0" customHeight="1">
      <x:c r="A57" s="10" t="n">
        <x:v>46</x:v>
      </x:c>
      <x:c r="B57" s="10" t="s">
        <x:v>313</x:v>
      </x:c>
      <x:c r="C57" s="11" t="s">
        <x:v>56</x:v>
      </x:c>
      <x:c r="D57" s="11" t="s">
        <x:v>57</x:v>
      </x:c>
      <x:c r="E57" s="12" t="s">
        <x:v>314</x:v>
      </x:c>
      <x:c r="F57" s="12" t="s">
        <x:v>74</x:v>
      </x:c>
      <x:c r="G57" s="12" t="s">
        <x:v>315</x:v>
      </x:c>
      <x:c r="H57" s="13" t="s">
        <x:v>316</x:v>
      </x:c>
      <x:c r="I57" s="14" t="s">
        <x:v>53</x:v>
      </x:c>
      <x:c r="J57" s="15" t="s">
        <x:v>317</x:v>
      </x:c>
    </x:row>
    <x:row r="58" ht="90" hidden="0" customHeight="1">
      <x:c r="A58" s="10" t="n">
        <x:v>48</x:v>
      </x:c>
      <x:c r="B58" s="10" t="s">
        <x:v>318</x:v>
      </x:c>
      <x:c r="C58" s="11" t="s">
        <x:v>56</x:v>
      </x:c>
      <x:c r="D58" s="11" t="s">
        <x:v>57</x:v>
      </x:c>
      <x:c r="E58" s="12" t="s">
        <x:v>319</x:v>
      </x:c>
      <x:c r="F58" s="12" t="s">
        <x:v>240</x:v>
      </x:c>
      <x:c r="G58" s="12" t="s">
        <x:v>320</x:v>
      </x:c>
      <x:c r="H58" s="13" t="s">
        <x:v>321</x:v>
      </x:c>
      <x:c r="I58" s="14" t="s">
        <x:v>53</x:v>
      </x:c>
      <x:c r="J58" s="15" t="s">
        <x:v>322</x:v>
      </x:c>
    </x:row>
    <x:row r="59" ht="90" hidden="0" customHeight="1">
      <x:c r="A59" s="10" t="n">
        <x:v>49</x:v>
      </x:c>
      <x:c r="B59" s="10" t="s">
        <x:v>323</x:v>
      </x:c>
      <x:c r="C59" s="11" t="s">
        <x:v>56</x:v>
      </x:c>
      <x:c r="D59" s="11" t="s">
        <x:v>57</x:v>
      </x:c>
      <x:c r="E59" s="12" t="s">
        <x:v>324</x:v>
      </x:c>
      <x:c r="F59" s="12" t="s">
        <x:v>325</x:v>
      </x:c>
      <x:c r="G59" s="12" t="s">
        <x:v>326</x:v>
      </x:c>
      <x:c r="H59" s="13" t="s">
        <x:v>327</x:v>
      </x:c>
      <x:c r="I59" s="14" t="s">
        <x:v>53</x:v>
      </x:c>
      <x:c r="J59" s="15" t="s">
        <x:v>328</x:v>
      </x:c>
    </x:row>
    <x:row r="60" ht="90" hidden="0" customHeight="1">
      <x:c r="A60" s="10" t="n">
        <x:v>50</x:v>
      </x:c>
      <x:c r="B60" s="10" t="s">
        <x:v>329</x:v>
      </x:c>
      <x:c r="C60" s="11" t="s">
        <x:v>56</x:v>
      </x:c>
      <x:c r="D60" s="11" t="s">
        <x:v>57</x:v>
      </x:c>
      <x:c r="E60" s="12" t="s">
        <x:v>330</x:v>
      </x:c>
      <x:c r="F60" s="12" t="s">
        <x:v>74</x:v>
      </x:c>
      <x:c r="G60" s="12" t="s">
        <x:v>331</x:v>
      </x:c>
      <x:c r="H60" s="13" t="s">
        <x:v>332</x:v>
      </x:c>
      <x:c r="I60" s="14" t="s">
        <x:v>53</x:v>
      </x:c>
      <x:c r="J60" s="15" t="s">
        <x:v>333</x:v>
      </x:c>
    </x:row>
    <x:row r="61" ht="201.75" hidden="0" customHeight="1">
      <x:c r="A61" s="10" t="n">
        <x:v>51</x:v>
      </x:c>
      <x:c r="B61" s="10" t="s">
        <x:v>334</x:v>
      </x:c>
      <x:c r="C61" s="11" t="s">
        <x:v>56</x:v>
      </x:c>
      <x:c r="D61" s="11" t="s">
        <x:v>41</x:v>
      </x:c>
      <x:c r="E61" s="12" t="s">
        <x:v>335</x:v>
      </x:c>
      <x:c r="F61" s="12" t="s">
        <x:v>213</x:v>
      </x:c>
      <x:c r="G61" s="12" t="s">
        <x:v>336</x:v>
      </x:c>
      <x:c r="H61" s="13" t="s">
        <x:v>337</x:v>
      </x:c>
      <x:c r="I61" s="14" t="s">
        <x:v>53</x:v>
      </x:c>
      <x:c r="J61" s="15" t="s">
        <x:v>338</x:v>
      </x:c>
    </x:row>
    <x:row r="62" ht="90" hidden="0" customHeight="1">
      <x:c r="A62" s="10" t="n">
        <x:v>52</x:v>
      </x:c>
      <x:c r="B62" s="10" t="s">
        <x:v>339</x:v>
      </x:c>
      <x:c r="C62" s="11" t="s">
        <x:v>56</x:v>
      </x:c>
      <x:c r="D62" s="11" t="s">
        <x:v>57</x:v>
      </x:c>
      <x:c r="E62" s="12" t="s">
        <x:v>340</x:v>
      </x:c>
      <x:c r="F62" s="12" t="s">
        <x:v>124</x:v>
      </x:c>
      <x:c r="G62" s="12" t="s">
        <x:v>341</x:v>
      </x:c>
      <x:c r="H62" s="13" t="s">
        <x:v>342</x:v>
      </x:c>
      <x:c r="I62" s="14" t="s">
        <x:v>53</x:v>
      </x:c>
      <x:c r="J62" s="15" t="s">
        <x:v>343</x:v>
      </x:c>
    </x:row>
    <x:row r="63" ht="90" hidden="0" customHeight="1">
      <x:c r="A63" s="10" t="n">
        <x:v>53</x:v>
      </x:c>
      <x:c r="B63" s="10" t="s">
        <x:v>344</x:v>
      </x:c>
      <x:c r="C63" s="11" t="s">
        <x:v>56</x:v>
      </x:c>
      <x:c r="D63" s="11" t="s">
        <x:v>57</x:v>
      </x:c>
      <x:c r="E63" s="12" t="s">
        <x:v>345</x:v>
      </x:c>
      <x:c r="F63" s="12" t="s">
        <x:v>240</x:v>
      </x:c>
      <x:c r="G63" s="12" t="s">
        <x:v>346</x:v>
      </x:c>
      <x:c r="H63" s="13" t="s">
        <x:v>347</x:v>
      </x:c>
      <x:c r="I63" s="14" t="s">
        <x:v>53</x:v>
      </x:c>
      <x:c r="J63" s="15" t="s">
        <x:v>348</x:v>
      </x:c>
    </x:row>
    <x:row r="64" ht="90" hidden="0" customHeight="1">
      <x:c r="A64" s="10" t="n">
        <x:v>55</x:v>
      </x:c>
      <x:c r="B64" s="10" t="s">
        <x:v>349</x:v>
      </x:c>
      <x:c r="C64" s="11" t="s">
        <x:v>56</x:v>
      </x:c>
      <x:c r="D64" s="11" t="s">
        <x:v>57</x:v>
      </x:c>
      <x:c r="E64" s="12" t="s">
        <x:v>350</x:v>
      </x:c>
      <x:c r="F64" s="12" t="s">
        <x:v>229</x:v>
      </x:c>
      <x:c r="G64" s="12" t="s">
        <x:v>351</x:v>
      </x:c>
      <x:c r="H64" s="13" t="s">
        <x:v>352</x:v>
      </x:c>
      <x:c r="I64" s="14" t="s">
        <x:v>53</x:v>
      </x:c>
      <x:c r="J64" s="15" t="s">
        <x:v>353</x:v>
      </x:c>
    </x:row>
    <x:row r="65" ht="90" hidden="0" customHeight="1">
      <x:c r="A65" s="10" t="n">
        <x:v>57</x:v>
      </x:c>
      <x:c r="B65" s="10" t="s">
        <x:v>354</x:v>
      </x:c>
      <x:c r="C65" s="11" t="s">
        <x:v>48</x:v>
      </x:c>
      <x:c r="D65" s="11" t="s">
        <x:v>57</x:v>
      </x:c>
      <x:c r="E65" s="12" t="s">
        <x:v>355</x:v>
      </x:c>
      <x:c r="F65" s="12" t="s">
        <x:v>74</x:v>
      </x:c>
      <x:c r="G65" s="12" t="s">
        <x:v>356</x:v>
      </x:c>
      <x:c r="H65" s="13" t="s">
        <x:v>357</x:v>
      </x:c>
      <x:c r="I65" s="14" t="s">
        <x:v>53</x:v>
      </x:c>
      <x:c r="J65" s="15" t="s">
        <x:v>358</x:v>
      </x:c>
    </x:row>
    <x:row r="66" ht="90" hidden="0" customHeight="1">
      <x:c r="A66" s="10" t="n">
        <x:v>58</x:v>
      </x:c>
      <x:c r="B66" s="10" t="s">
        <x:v>359</x:v>
      </x:c>
      <x:c r="C66" s="11" t="s">
        <x:v>48</x:v>
      </x:c>
      <x:c r="D66" s="11" t="s">
        <x:v>57</x:v>
      </x:c>
      <x:c r="E66" s="12" t="s">
        <x:v>360</x:v>
      </x:c>
      <x:c r="F66" s="12" t="s">
        <x:v>43</x:v>
      </x:c>
      <x:c r="G66" s="12" t="s">
        <x:v>361</x:v>
      </x:c>
      <x:c r="H66" s="13" t="s">
        <x:v>362</x:v>
      </x:c>
      <x:c r="I66" s="14" t="s">
        <x:v>53</x:v>
      </x:c>
      <x:c r="J66" s="15" t="s">
        <x:v>363</x:v>
      </x:c>
    </x:row>
    <x:row r="67" ht="90" hidden="0" customHeight="1">
      <x:c r="A67" s="10" t="n">
        <x:v>59</x:v>
      </x:c>
      <x:c r="B67" s="10" t="s">
        <x:v>364</x:v>
      </x:c>
      <x:c r="C67" s="11" t="s">
        <x:v>48</x:v>
      </x:c>
      <x:c r="D67" s="11" t="s">
        <x:v>57</x:v>
      </x:c>
      <x:c r="E67" s="12" t="s">
        <x:v>365</x:v>
      </x:c>
      <x:c r="F67" s="12" t="s">
        <x:v>85</x:v>
      </x:c>
      <x:c r="G67" s="12" t="s">
        <x:v>366</x:v>
      </x:c>
      <x:c r="H67" s="13" t="s">
        <x:v>367</x:v>
      </x:c>
      <x:c r="I67" s="14" t="s">
        <x:v>53</x:v>
      </x:c>
      <x:c r="J67" s="15" t="s">
        <x:v>368</x:v>
      </x:c>
    </x:row>
    <x:row r="68" ht="90" hidden="0" customHeight="1">
      <x:c r="A68" s="10" t="n">
        <x:v>60</x:v>
      </x:c>
      <x:c r="B68" s="10" t="s">
        <x:v>369</x:v>
      </x:c>
      <x:c r="C68" s="11" t="s">
        <x:v>48</x:v>
      </x:c>
      <x:c r="D68" s="11" t="s">
        <x:v>57</x:v>
      </x:c>
      <x:c r="E68" s="12" t="s">
        <x:v>370</x:v>
      </x:c>
      <x:c r="F68" s="12" t="s">
        <x:v>134</x:v>
      </x:c>
      <x:c r="G68" s="12" t="s">
        <x:v>371</x:v>
      </x:c>
      <x:c r="H68" s="13" t="s">
        <x:v>372</x:v>
      </x:c>
      <x:c r="I68" s="14" t="s">
        <x:v>53</x:v>
      </x:c>
      <x:c r="J68" s="15" t="s">
        <x:v>373</x:v>
      </x:c>
    </x:row>
    <x:row r="69" ht="90" hidden="0" customHeight="1">
      <x:c r="A69" s="10" t="n">
        <x:v>61</x:v>
      </x:c>
      <x:c r="B69" s="10" t="s">
        <x:v>374</x:v>
      </x:c>
      <x:c r="C69" s="11" t="s">
        <x:v>48</x:v>
      </x:c>
      <x:c r="D69" s="11" t="s">
        <x:v>57</x:v>
      </x:c>
      <x:c r="E69" s="12" t="s">
        <x:v>375</x:v>
      </x:c>
      <x:c r="F69" s="12" t="s">
        <x:v>240</x:v>
      </x:c>
      <x:c r="G69" s="12" t="s">
        <x:v>376</x:v>
      </x:c>
      <x:c r="H69" s="13" t="s">
        <x:v>377</x:v>
      </x:c>
      <x:c r="I69" s="14" t="s">
        <x:v>53</x:v>
      </x:c>
      <x:c r="J69" s="15" t="s">
        <x:v>378</x:v>
      </x:c>
    </x:row>
    <x:row r="70" ht="90" hidden="0" customHeight="1">
      <x:c r="A70" s="10" t="n">
        <x:v>62</x:v>
      </x:c>
      <x:c r="B70" s="10" t="s">
        <x:v>379</x:v>
      </x:c>
      <x:c r="C70" s="11" t="s">
        <x:v>48</x:v>
      </x:c>
      <x:c r="D70" s="11" t="s">
        <x:v>57</x:v>
      </x:c>
      <x:c r="E70" s="12" t="s">
        <x:v>380</x:v>
      </x:c>
      <x:c r="F70" s="12" t="s">
        <x:v>134</x:v>
      </x:c>
      <x:c r="G70" s="12" t="s">
        <x:v>381</x:v>
      </x:c>
      <x:c r="H70" s="13" t="s">
        <x:v>382</x:v>
      </x:c>
      <x:c r="I70" s="14" t="s">
        <x:v>53</x:v>
      </x:c>
      <x:c r="J70" s="15" t="s">
        <x:v>383</x:v>
      </x:c>
    </x:row>
    <x:row r="71" ht="90" hidden="0" customHeight="1">
      <x:c r="A71" s="10" t="n">
        <x:v>63</x:v>
      </x:c>
      <x:c r="B71" s="10" t="s">
        <x:v>384</x:v>
      </x:c>
      <x:c r="C71" s="11" t="s">
        <x:v>48</x:v>
      </x:c>
      <x:c r="D71" s="11" t="s">
        <x:v>57</x:v>
      </x:c>
      <x:c r="E71" s="12" t="s">
        <x:v>385</x:v>
      </x:c>
      <x:c r="F71" s="12" t="s">
        <x:v>224</x:v>
      </x:c>
      <x:c r="G71" s="12" t="s">
        <x:v>386</x:v>
      </x:c>
      <x:c r="H71" s="13" t="s">
        <x:v>387</x:v>
      </x:c>
      <x:c r="I71" s="14" t="s">
        <x:v>204</x:v>
      </x:c>
      <x:c r="J71" s="15" t="s">
        <x:v>388</x:v>
      </x:c>
    </x:row>
    <x:row r="72" ht="90" hidden="0" customHeight="1">
      <x:c r="A72" s="10" t="n">
        <x:v>66</x:v>
      </x:c>
      <x:c r="B72" s="10" t="s">
        <x:v>389</x:v>
      </x:c>
      <x:c r="C72" s="11" t="s">
        <x:v>48</x:v>
      </x:c>
      <x:c r="D72" s="11" t="s">
        <x:v>57</x:v>
      </x:c>
      <x:c r="E72" s="12" t="s">
        <x:v>390</x:v>
      </x:c>
      <x:c r="F72" s="12" t="s">
        <x:v>191</x:v>
      </x:c>
      <x:c r="G72" s="12" t="s">
        <x:v>391</x:v>
      </x:c>
      <x:c r="H72" s="13" t="s">
        <x:v>392</x:v>
      </x:c>
      <x:c r="I72" s="14" t="s">
        <x:v>53</x:v>
      </x:c>
      <x:c r="J72" s="15" t="s">
        <x:v>393</x:v>
      </x:c>
    </x:row>
    <x:row r="73" ht="90" hidden="0" customHeight="1">
      <x:c r="A73" s="10" t="n">
        <x:v>68</x:v>
      </x:c>
      <x:c r="B73" s="10" t="s">
        <x:v>394</x:v>
      </x:c>
      <x:c r="C73" s="11" t="s">
        <x:v>48</x:v>
      </x:c>
      <x:c r="D73" s="11" t="s">
        <x:v>57</x:v>
      </x:c>
      <x:c r="E73" s="12" t="s">
        <x:v>395</x:v>
      </x:c>
      <x:c r="F73" s="12" t="s">
        <x:v>108</x:v>
      </x:c>
      <x:c r="G73" s="12" t="s">
        <x:v>396</x:v>
      </x:c>
      <x:c r="H73" s="13" t="s">
        <x:v>397</x:v>
      </x:c>
      <x:c r="I73" s="14" t="s">
        <x:v>204</x:v>
      </x:c>
      <x:c r="J73" s="15" t="s">
        <x:v>398</x:v>
      </x:c>
    </x:row>
    <x:row r="74" ht="90" hidden="0" customHeight="1">
      <x:c r="A74" s="10" t="n">
        <x:v>69</x:v>
      </x:c>
      <x:c r="B74" s="10" t="s">
        <x:v>399</x:v>
      </x:c>
      <x:c r="C74" s="11" t="s">
        <x:v>48</x:v>
      </x:c>
      <x:c r="D74" s="11" t="s">
        <x:v>57</x:v>
      </x:c>
      <x:c r="E74" s="12" t="s">
        <x:v>400</x:v>
      </x:c>
      <x:c r="F74" s="12" t="s">
        <x:v>240</x:v>
      </x:c>
      <x:c r="G74" s="12" t="s">
        <x:v>401</x:v>
      </x:c>
      <x:c r="H74" s="13" t="s">
        <x:v>402</x:v>
      </x:c>
      <x:c r="I74" s="14" t="s">
        <x:v>204</x:v>
      </x:c>
      <x:c r="J74" s="15" t="s">
        <x:v>403</x:v>
      </x:c>
    </x:row>
    <x:row r="75" ht="90" hidden="0" customHeight="1">
      <x:c r="A75" s="10" t="n">
        <x:v>70</x:v>
      </x:c>
      <x:c r="B75" s="10" t="s">
        <x:v>404</x:v>
      </x:c>
      <x:c r="C75" s="11" t="s">
        <x:v>48</x:v>
      </x:c>
      <x:c r="D75" s="11" t="s">
        <x:v>57</x:v>
      </x:c>
      <x:c r="E75" s="12" t="s">
        <x:v>405</x:v>
      </x:c>
      <x:c r="F75" s="12" t="s">
        <x:v>124</x:v>
      </x:c>
      <x:c r="G75" s="12" t="s">
        <x:v>406</x:v>
      </x:c>
      <x:c r="H75" s="13" t="s">
        <x:v>407</x:v>
      </x:c>
      <x:c r="I75" s="14" t="s">
        <x:v>53</x:v>
      </x:c>
      <x:c r="J75" s="15" t="s">
        <x:v>408</x:v>
      </x:c>
    </x:row>
    <x:row r="76" ht="90" hidden="0" customHeight="1">
      <x:c r="A76" s="10" t="n">
        <x:v>71</x:v>
      </x:c>
      <x:c r="B76" s="10" t="s">
        <x:v>409</x:v>
      </x:c>
      <x:c r="C76" s="11" t="s">
        <x:v>48</x:v>
      </x:c>
      <x:c r="D76" s="11" t="s">
        <x:v>57</x:v>
      </x:c>
      <x:c r="E76" s="12" t="s">
        <x:v>410</x:v>
      </x:c>
      <x:c r="F76" s="12" t="s">
        <x:v>134</x:v>
      </x:c>
      <x:c r="G76" s="12" t="s">
        <x:v>411</x:v>
      </x:c>
      <x:c r="H76" s="13" t="s">
        <x:v>412</x:v>
      </x:c>
      <x:c r="I76" s="14" t="s">
        <x:v>53</x:v>
      </x:c>
      <x:c r="J76" s="15" t="s">
        <x:v>413</x:v>
      </x:c>
    </x:row>
    <x:row r="77" ht="90" hidden="0" customHeight="1">
      <x:c r="A77" s="10" t="n">
        <x:v>73</x:v>
      </x:c>
      <x:c r="B77" s="10" t="s">
        <x:v>414</x:v>
      </x:c>
      <x:c r="C77" s="11" t="s">
        <x:v>48</x:v>
      </x:c>
      <x:c r="D77" s="11" t="s">
        <x:v>57</x:v>
      </x:c>
      <x:c r="E77" s="12" t="s">
        <x:v>415</x:v>
      </x:c>
      <x:c r="F77" s="12" t="s">
        <x:v>96</x:v>
      </x:c>
      <x:c r="G77" s="12" t="s">
        <x:v>416</x:v>
      </x:c>
      <x:c r="H77" s="13" t="s">
        <x:v>417</x:v>
      </x:c>
      <x:c r="I77" s="14" t="s">
        <x:v>204</x:v>
      </x:c>
      <x:c r="J77" s="15" t="s">
        <x:v>418</x:v>
      </x:c>
    </x:row>
    <x:row r="78" ht="90" hidden="0" customHeight="1">
      <x:c r="A78" s="10" t="n">
        <x:v>74</x:v>
      </x:c>
      <x:c r="B78" s="10" t="s">
        <x:v>419</x:v>
      </x:c>
      <x:c r="C78" s="11" t="s">
        <x:v>48</x:v>
      </x:c>
      <x:c r="D78" s="11" t="s">
        <x:v>57</x:v>
      </x:c>
      <x:c r="E78" s="12" t="s">
        <x:v>420</x:v>
      </x:c>
      <x:c r="F78" s="12" t="s">
        <x:v>134</x:v>
      </x:c>
      <x:c r="G78" s="12" t="s">
        <x:v>421</x:v>
      </x:c>
      <x:c r="H78" s="13" t="s">
        <x:v>422</x:v>
      </x:c>
      <x:c r="I78" s="14" t="s">
        <x:v>53</x:v>
      </x:c>
      <x:c r="J78" s="15" t="s">
        <x:v>423</x:v>
      </x:c>
    </x:row>
    <x:row r="79" ht="90" hidden="0" customHeight="1">
      <x:c r="A79" s="10" t="n">
        <x:v>75</x:v>
      </x:c>
      <x:c r="B79" s="10" t="s">
        <x:v>424</x:v>
      </x:c>
      <x:c r="C79" s="11" t="s">
        <x:v>48</x:v>
      </x:c>
      <x:c r="D79" s="11" t="s">
        <x:v>57</x:v>
      </x:c>
      <x:c r="E79" s="12" t="s">
        <x:v>425</x:v>
      </x:c>
      <x:c r="F79" s="12" t="s">
        <x:v>426</x:v>
      </x:c>
      <x:c r="G79" s="12" t="s">
        <x:v>427</x:v>
      </x:c>
      <x:c r="H79" s="13" t="s">
        <x:v>428</x:v>
      </x:c>
      <x:c r="I79" s="14" t="s">
        <x:v>204</x:v>
      </x:c>
      <x:c r="J79" s="15" t="s">
        <x:v>429</x:v>
      </x:c>
    </x:row>
    <x:row r="80" ht="90" hidden="0" customHeight="1">
      <x:c r="A80" s="10" t="n">
        <x:v>76</x:v>
      </x:c>
      <x:c r="B80" s="10" t="s">
        <x:v>430</x:v>
      </x:c>
      <x:c r="C80" s="11" t="s">
        <x:v>48</x:v>
      </x:c>
      <x:c r="D80" s="11" t="s">
        <x:v>57</x:v>
      </x:c>
      <x:c r="E80" s="12" t="s">
        <x:v>431</x:v>
      </x:c>
      <x:c r="F80" s="12" t="s">
        <x:v>43</x:v>
      </x:c>
      <x:c r="G80" s="12" t="s">
        <x:v>432</x:v>
      </x:c>
      <x:c r="H80" s="13" t="s">
        <x:v>433</x:v>
      </x:c>
      <x:c r="I80" s="14" t="s">
        <x:v>204</x:v>
      </x:c>
      <x:c r="J80" s="15" t="s">
        <x:v>434</x:v>
      </x:c>
    </x:row>
    <x:row r="81" ht="90" hidden="0" customHeight="1">
      <x:c r="A81" s="10" t="n">
        <x:v>77</x:v>
      </x:c>
      <x:c r="B81" s="10" t="s">
        <x:v>435</x:v>
      </x:c>
      <x:c r="C81" s="11" t="s">
        <x:v>48</x:v>
      </x:c>
      <x:c r="D81" s="11" t="s">
        <x:v>41</x:v>
      </x:c>
      <x:c r="E81" s="12" t="s">
        <x:v>436</x:v>
      </x:c>
      <x:c r="F81" s="12" t="s">
        <x:v>43</x:v>
      </x:c>
      <x:c r="G81" s="12" t="s">
        <x:v>437</x:v>
      </x:c>
      <x:c r="H81" s="13" t="s">
        <x:v>438</x:v>
      </x:c>
      <x:c r="I81" s="14" t="s">
        <x:v>53</x:v>
      </x:c>
      <x:c r="J81" s="15" t="s">
        <x:v>439</x:v>
      </x:c>
    </x:row>
    <x:row r="82" ht="174.75" hidden="0" customHeight="1">
      <x:c r="A82" s="10" t="n">
        <x:v>78</x:v>
      </x:c>
      <x:c r="B82" s="10" t="s">
        <x:v>440</x:v>
      </x:c>
      <x:c r="C82" s="11" t="s">
        <x:v>48</x:v>
      </x:c>
      <x:c r="D82" s="11" t="s">
        <x:v>57</x:v>
      </x:c>
      <x:c r="E82" s="12" t="s">
        <x:v>441</x:v>
      </x:c>
      <x:c r="F82" s="12" t="s">
        <x:v>134</x:v>
      </x:c>
      <x:c r="G82" s="12" t="s">
        <x:v>442</x:v>
      </x:c>
      <x:c r="H82" s="13" t="s">
        <x:v>443</x:v>
      </x:c>
      <x:c r="I82" s="14" t="s">
        <x:v>53</x:v>
      </x:c>
      <x:c r="J82" s="15" t="s">
        <x:v>444</x:v>
      </x:c>
    </x:row>
    <x:row r="83" ht="198" hidden="0" customHeight="1">
      <x:c r="A83" s="10" t="n">
        <x:v>80</x:v>
      </x:c>
      <x:c r="B83" s="10" t="s">
        <x:v>445</x:v>
      </x:c>
      <x:c r="C83" s="11" t="s">
        <x:v>48</x:v>
      </x:c>
      <x:c r="D83" s="11" t="s">
        <x:v>57</x:v>
      </x:c>
      <x:c r="E83" s="12" t="s">
        <x:v>446</x:v>
      </x:c>
      <x:c r="F83" s="12" t="s">
        <x:v>447</x:v>
      </x:c>
      <x:c r="G83" s="12" t="s">
        <x:v>448</x:v>
      </x:c>
      <x:c r="H83" s="13" t="s">
        <x:v>449</x:v>
      </x:c>
      <x:c r="I83" s="14" t="s">
        <x:v>53</x:v>
      </x:c>
      <x:c r="J83" s="15" t="s">
        <x:v>450</x:v>
      </x:c>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77734375" defaultRowHeight="14.25"/>
  <x:cols>
    <x:col min="1" max="1" width="30" style="1" hidden="0" customWidth="1"/>
    <x:col min="2" max="3" width="18" style="1" hidden="0" customWidth="1"/>
    <x:col min="4" max="4" width="35" style="1" hidden="0" customWidth="1"/>
  </x:cols>
  <x:sheetData>
    <x:row r="1" ht="25.5" hidden="0" customHeight="1">
      <x:c r="A1" s="7" t="str">
        <x:v>Independent Reviewer Outcome Summary</x:v>
      </x:c>
      <x:c r="B1" s="7"/>
      <x:c r="C1" s="7"/>
      <x:c r="D1" s="7"/>
    </x:row>
    <x:row r="2" ht="19.5" hidden="0" customHeight="1">
      <x:c r="A2" s="16" t="s">
        <x:v>451</x:v>
      </x:c>
      <x:c r="B2" s="16"/>
      <x:c r="C2" s="16"/>
      <x:c r="D2" s="16"/>
    </x:row>
    <x:row r="3" ht="19.5" hidden="0" customHeight="1">
      <x:c r="A3" s="17" t="s">
        <x:v>452</x:v>
      </x:c>
      <x:c r="B3" s="17" t="s">
        <x:v>453</x:v>
      </x:c>
      <x:c r="C3" s="17" t="s">
        <x:v>454</x:v>
      </x:c>
      <x:c r="D3" s="17" t="s">
        <x:v>455</x:v>
      </x:c>
    </x:row>
    <x:row r="4" ht="18" hidden="0" customHeight="1">
      <x:c r="A4" s="18" t="s">
        <x:v>456</x:v>
      </x:c>
      <x:c r="B4" s="19" t="n">
        <x:f aca="0">COUNTA('Annotator Review'!I4:I83)</x:f>
        <x:v>80</x:v>
      </x:c>
      <x:c r="C4" s="19" t="str">
        <x:f aca="0">IF(B4=0,"",B4&amp;" of 80")</x:f>
        <x:v>80 of 80</x:v>
      </x:c>
      <x:c r="D4" s="20" t="s">
        <x:v>457</x:v>
      </x:c>
    </x:row>
    <x:row r="5" ht="18" hidden="0" customHeight="1">
      <x:c r="A5" s="21" t="s">
        <x:v>458</x:v>
      </x:c>
      <x:c r="B5" s="22" t="n">
        <x:f aca="0">COUNTIF('Annotator Review'!I4:I83,"FULL")</x:f>
        <x:v>21</x:v>
      </x:c>
      <x:c r="C5" s="22" t="str">
        <x:f aca="0">IF(B4=0,"",TEXT(B5/B4,"0.0%"))</x:f>
        <x:v>26.3%</x:v>
      </x:c>
      <x:c r="D5" s="23" t="str">
        <x:v>Reviewer answer agrees with the author-prepared answer on all material facts</x:v>
      </x:c>
    </x:row>
    <x:row r="6" ht="18" hidden="0" customHeight="1">
      <x:c r="A6" s="24" t="s">
        <x:v>459</x:v>
      </x:c>
      <x:c r="B6" s="25" t="n">
        <x:f aca="0">COUNTIF('Annotator Review'!I4:I83,"PARTIAL")</x:f>
        <x:v>50</x:v>
      </x:c>
      <x:c r="C6" s="25" t="str">
        <x:f aca="0">IF(B4=0,"",TEXT(B6/B4,"0.0%"))</x:f>
        <x:v>62.5%</x:v>
      </x:c>
      <x:c r="D6" s="26" t="str">
        <x:v>Reviewer agrees on the central answer but one or more details differ or are missing</x:v>
      </x:c>
    </x:row>
    <x:row r="7" ht="18" hidden="0" customHeight="1">
      <x:c r="A7" s="27" t="s">
        <x:v>460</x:v>
      </x:c>
      <x:c r="B7" s="28" t="n">
        <x:f aca="0">COUNTIF('Annotator Review'!I4:I83,"NONE")</x:f>
        <x:v>9</x:v>
      </x:c>
      <x:c r="C7" s="28" t="str">
        <x:f aca="0">IF(B4=0,"",TEXT(B7/B4,"0.0%"))</x:f>
        <x:v>11.3%</x:v>
      </x:c>
      <x:c r="D7" s="29" t="str">
        <x:v>Reviewer answer materially differs from the author-prepared answer</x:v>
      </x:c>
    </x:row>
    <x:row r="8" ht="18" hidden="0" customHeight="1">
      <x:c r="A8" s="30" t="s">
        <x:v>461</x:v>
      </x:c>
      <x:c r="B8" s="31" t="n">
        <x:f aca="0">COUNTBLANK('Annotator Review'!I4:I83)</x:f>
        <x:v>0</x:v>
      </x:c>
      <x:c r="C8" s="31" t="str">
        <x:f aca="0">IF(B4=0,"",TEXT(B8/80,"0.0%"))</x:f>
        <x:v>0.0%</x:v>
      </x:c>
      <x:c r="D8" s="32" t="s">
        <x:v>462</x:v>
      </x:c>
    </x:row>
    <x:row r="9" ht="18" hidden="0" customHeight="1">
      <x:c r="A9" s="33"/>
      <x:c r="B9" s="34" t="n">
        <x:f aca="0">B5+B6</x:f>
        <x:v>71</x:v>
      </x:c>
      <x:c r="C9" s="34" t="str">
        <x:f aca="0">IF(B4=0,"",TEXT((B5+B6)/B4,"0.0%"))</x:f>
        <x:v>88.8%</x:v>
      </x:c>
      <x:c r="D9" s="35"/>
    </x:row>
    <x:row r="10" ht="18" hidden="0" customHeight="1">
      <x:c r="A10" s="36" t="s">
        <x:v>463</x:v>
      </x:c>
      <x:c r="B10" s="37" t="n">
        <x:f aca="0">B5+B6</x:f>
        <x:v>71</x:v>
      </x:c>
      <x:c r="C10" s="37" t="str">
        <x:f aca="0">IF(B4=0,"",TEXT((B5+B6)/B4,"0.0%"))</x:f>
        <x:v>88.8%</x:v>
      </x:c>
      <x:c r="D10" s="38" t="str">
        <x:v>Descriptive combined rate; not exact agreement or Cohen's Kappa</x:v>
      </x:c>
    </x:row>
    <x:row r="11" ht="18" hidden="0" customHeight="1">
      <x:c r="A11" s="33"/>
      <x:c r="B11" s="34"/>
      <x:c r="C11" s="34"/>
      <x:c r="D11" s="35"/>
    </x:row>
    <x:row r="12" ht="18" hidden="0" customHeight="1">
      <x:c r="A12" s="18" t="s">
        <x:v>464</x:v>
      </x:c>
      <x:c r="B12" s="19" t="n">
        <x:f aca="0">COUNTIF('Annotator Review'!C4:C83,"FACTUAL")</x:f>
        <x:v>30</x:v>
      </x:c>
      <x:c r="C12" s="19" t="str">
        <x:f aca="0">TEXT(B12/30,"0")</x:f>
        <x:v>1</x:v>
      </x:c>
      <x:c r="D12" s="20" t="s">
        <x:v>465</x:v>
      </x:c>
    </x:row>
    <x:row r="13" ht="18" hidden="0" customHeight="1">
      <x:c r="A13" s="18" t="s">
        <x:v>466</x:v>
      </x:c>
      <x:c r="B13" s="19" t="n">
        <x:f aca="0">COUNTIF('Annotator Review'!C4:C83,"COMPARATIVE")</x:f>
        <x:v>25</x:v>
      </x:c>
      <x:c r="C13" s="19" t="str">
        <x:f aca="0">TEXT(B13/25,"0")</x:f>
        <x:v>1</x:v>
      </x:c>
      <x:c r="D13" s="20" t="s">
        <x:v>467</x:v>
      </x:c>
    </x:row>
    <x:row r="14" ht="18" hidden="0" customHeight="1">
      <x:c r="A14" s="18" t="s">
        <x:v>468</x:v>
      </x:c>
      <x:c r="B14" s="19" t="n">
        <x:f aca="0">COUNTIF('Annotator Review'!C4:C83,"GAP DETECTION")</x:f>
        <x:v>25</x:v>
      </x:c>
      <x:c r="C14" s="19" t="str">
        <x:f aca="0">TEXT(B14/25,"0")</x:f>
        <x:v>1</x:v>
      </x:c>
      <x:c r="D14" s="20" t="s">
        <x:v>467</x:v>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12" style="1" hidden="0" customWidth="1"/>
    <x:col min="2" max="2" width="14" style="1" hidden="0" customWidth="1"/>
    <x:col min="3" max="3" width="20" style="1" hidden="0" customWidth="1"/>
    <x:col min="4" max="4" width="30" style="1" hidden="0" customWidth="1"/>
    <x:col min="5" max="5" width="16" style="1" hidden="0" customWidth="1"/>
    <x:col min="6" max="6" width="12" style="1" hidden="0" customWidth="1"/>
    <x:col min="7" max="7" width="20" style="1" hidden="0" customWidth="1"/>
    <x:col min="8" max="8" width="26" style="1" hidden="0" customWidth="1"/>
    <x:col min="9" max="9" width="30" style="1" hidden="0" customWidth="1"/>
    <x:col min="10" max="10" width="22" style="1" hidden="0" customWidth="1"/>
    <x:col min="11" max="11" width="30" style="1" hidden="0" customWidth="1"/>
    <x:col min="12" max="12" width="14" style="1" hidden="0" customWidth="1"/>
  </x:cols>
  <x:sheetData>
    <x:row r="1" ht="15" hidden="0">
      <x:c r="A1" s="39" t="s">
        <x:v>469</x:v>
      </x:c>
    </x:row>
    <x:row r="2" ht="15" hidden="0">
      <x:c r="A2" s="1" t="s">
        <x:v>470</x:v>
      </x:c>
    </x:row>
    <x:row r="4" ht="15" hidden="0">
      <x:c r="A4" s="40" t="s">
        <x:v>471</x:v>
      </x:c>
      <x:c r="B4" s="40" t="s">
        <x:v>32</x:v>
      </x:c>
      <x:c r="C4" s="40" t="s">
        <x:v>472</x:v>
      </x:c>
      <x:c r="D4" s="40" t="s">
        <x:v>473</x:v>
      </x:c>
      <x:c r="E4" s="40" t="s">
        <x:v>474</x:v>
      </x:c>
      <x:c r="F4" s="40" t="s">
        <x:v>475</x:v>
      </x:c>
      <x:c r="G4" s="40" t="s">
        <x:v>476</x:v>
      </x:c>
      <x:c r="H4" s="40" t="s">
        <x:v>477</x:v>
      </x:c>
      <x:c r="I4" s="40" t="s">
        <x:v>478</x:v>
      </x:c>
      <x:c r="J4" s="40" t="s">
        <x:v>479</x:v>
      </x:c>
      <x:c r="K4" s="40" t="s">
        <x:v>480</x:v>
      </x:c>
      <x:c r="L4" s="40" t="s">
        <x:v>481</x:v>
      </x:c>
    </x:row>
    <x:row r="5" ht="15" hidden="0">
      <x:c r="A5" s="1" t="s">
        <x:v>200</x:v>
      </x:c>
      <x:c r="B5" s="1" t="s">
        <x:v>40</x:v>
      </x:c>
      <x:c r="C5" s="1" t="s">
        <x:v>204</x:v>
      </x:c>
      <x:c r="D5" s="6"/>
      <x:c r="E5" s="6"/>
      <x:c r="F5" s="6"/>
      <x:c r="G5" s="6"/>
      <x:c r="H5" s="6"/>
      <x:c r="I5" s="6"/>
      <x:c r="J5" s="6"/>
      <x:c r="K5" s="6"/>
      <x:c r="L5" s="6"/>
    </x:row>
    <x:row r="6" ht="15" hidden="0">
      <x:c r="A6" s="1" t="s">
        <x:v>238</x:v>
      </x:c>
      <x:c r="B6" s="1" t="s">
        <x:v>40</x:v>
      </x:c>
      <x:c r="C6" s="1" t="s">
        <x:v>204</x:v>
      </x:c>
      <x:c r="D6" s="6"/>
      <x:c r="E6" s="6"/>
      <x:c r="F6" s="6"/>
      <x:c r="G6" s="6"/>
      <x:c r="H6" s="6"/>
      <x:c r="I6" s="6"/>
      <x:c r="J6" s="6"/>
      <x:c r="K6" s="6"/>
      <x:c r="L6" s="6"/>
    </x:row>
    <x:row r="7" ht="15" hidden="0">
      <x:c r="A7" s="1" t="s">
        <x:v>244</x:v>
      </x:c>
      <x:c r="B7" s="1" t="s">
        <x:v>40</x:v>
      </x:c>
      <x:c r="C7" s="1" t="s">
        <x:v>204</x:v>
      </x:c>
      <x:c r="D7" s="6"/>
      <x:c r="E7" s="6"/>
      <x:c r="F7" s="6"/>
      <x:c r="G7" s="6"/>
      <x:c r="H7" s="6"/>
      <x:c r="I7" s="6"/>
      <x:c r="J7" s="6"/>
      <x:c r="K7" s="6"/>
      <x:c r="L7" s="6"/>
    </x:row>
    <x:row r="8" ht="15" hidden="0">
      <x:c r="A8" s="1" t="s">
        <x:v>384</x:v>
      </x:c>
      <x:c r="B8" s="1" t="s">
        <x:v>48</x:v>
      </x:c>
      <x:c r="C8" s="1" t="s">
        <x:v>204</x:v>
      </x:c>
      <x:c r="D8" s="6"/>
      <x:c r="E8" s="6"/>
      <x:c r="F8" s="6"/>
      <x:c r="G8" s="6"/>
      <x:c r="H8" s="6"/>
      <x:c r="I8" s="6"/>
      <x:c r="J8" s="6"/>
      <x:c r="K8" s="6"/>
      <x:c r="L8" s="6"/>
    </x:row>
    <x:row r="9" ht="15" hidden="0">
      <x:c r="A9" s="1" t="s">
        <x:v>394</x:v>
      </x:c>
      <x:c r="B9" s="1" t="s">
        <x:v>48</x:v>
      </x:c>
      <x:c r="C9" s="1" t="s">
        <x:v>204</x:v>
      </x:c>
      <x:c r="D9" s="6"/>
      <x:c r="E9" s="6"/>
      <x:c r="F9" s="6"/>
      <x:c r="G9" s="6"/>
      <x:c r="H9" s="6"/>
      <x:c r="I9" s="6"/>
      <x:c r="J9" s="6"/>
      <x:c r="K9" s="6"/>
      <x:c r="L9" s="6"/>
    </x:row>
    <x:row r="10" ht="15" hidden="0">
      <x:c r="A10" s="1" t="s">
        <x:v>399</x:v>
      </x:c>
      <x:c r="B10" s="1" t="s">
        <x:v>48</x:v>
      </x:c>
      <x:c r="C10" s="1" t="s">
        <x:v>204</x:v>
      </x:c>
      <x:c r="D10" s="6"/>
      <x:c r="E10" s="6"/>
      <x:c r="F10" s="6"/>
      <x:c r="G10" s="6"/>
      <x:c r="H10" s="6"/>
      <x:c r="I10" s="6"/>
      <x:c r="J10" s="6"/>
      <x:c r="K10" s="6"/>
      <x:c r="L10" s="6"/>
    </x:row>
    <x:row r="11" ht="15" hidden="0">
      <x:c r="A11" s="1" t="s">
        <x:v>414</x:v>
      </x:c>
      <x:c r="B11" s="1" t="s">
        <x:v>48</x:v>
      </x:c>
      <x:c r="C11" s="1" t="s">
        <x:v>204</x:v>
      </x:c>
      <x:c r="D11" s="6"/>
      <x:c r="E11" s="6"/>
      <x:c r="F11" s="6"/>
      <x:c r="G11" s="6"/>
      <x:c r="H11" s="6"/>
      <x:c r="I11" s="6"/>
      <x:c r="J11" s="6"/>
      <x:c r="K11" s="6"/>
      <x:c r="L11" s="6"/>
    </x:row>
    <x:row r="12" ht="15" hidden="0">
      <x:c r="A12" s="1" t="s">
        <x:v>424</x:v>
      </x:c>
      <x:c r="B12" s="1" t="s">
        <x:v>48</x:v>
      </x:c>
      <x:c r="C12" s="1" t="s">
        <x:v>204</x:v>
      </x:c>
      <x:c r="D12" s="6"/>
      <x:c r="E12" s="6"/>
      <x:c r="F12" s="6"/>
      <x:c r="G12" s="6"/>
      <x:c r="H12" s="6"/>
      <x:c r="I12" s="6"/>
      <x:c r="J12" s="6"/>
      <x:c r="K12" s="6"/>
      <x:c r="L12" s="6"/>
    </x:row>
    <x:row r="13" ht="15" hidden="0">
      <x:c r="A13" s="1" t="s">
        <x:v>430</x:v>
      </x:c>
      <x:c r="B13" s="1" t="s">
        <x:v>48</x:v>
      </x:c>
      <x:c r="C13" s="1" t="s">
        <x:v>204</x:v>
      </x:c>
      <x:c r="D13" s="6"/>
      <x:c r="E13" s="6"/>
      <x:c r="F13" s="6"/>
      <x:c r="G13" s="6"/>
      <x:c r="H13" s="6"/>
      <x:c r="I13" s="6"/>
      <x:c r="J13" s="6"/>
      <x:c r="K13" s="6"/>
      <x:c r="L13" s="6"/>
    </x:row>
  </x:sheetData>
  <x:pageMargins left="0.7" right="0.7" top="0.75" bottom="0.75" header="0.3" footer="0.3"/>
</x:worksheet>
</file>